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mP\Downloads\Heartz Tracker\"/>
    </mc:Choice>
  </mc:AlternateContent>
  <xr:revisionPtr revIDLastSave="0" documentId="13_ncr:1_{75A93090-A7DA-49E0-B98A-82637260764F}" xr6:coauthVersionLast="47" xr6:coauthVersionMax="47" xr10:uidLastSave="{00000000-0000-0000-0000-000000000000}"/>
  <bookViews>
    <workbookView xWindow="-120" yWindow="-120" windowWidth="24240" windowHeight="13020" tabRatio="684" xr2:uid="{00000000-000D-0000-FFFF-FFFF00000000}"/>
  </bookViews>
  <sheets>
    <sheet name="Overview" sheetId="1" r:id="rId1"/>
    <sheet name="Mar-2026" sheetId="2" r:id="rId2"/>
    <sheet name="April-2026" sheetId="3" r:id="rId3"/>
    <sheet name="May-2026" sheetId="4" r:id="rId4"/>
    <sheet name="June-2026" sheetId="5" r:id="rId5"/>
    <sheet name="July-2026" sheetId="6" state="hidden" r:id="rId6"/>
    <sheet name="Aug-2026" sheetId="7" state="hidden" r:id="rId7"/>
    <sheet name="Sep-2026" sheetId="8" state="hidden" r:id="rId8"/>
    <sheet name="Oct-2026" sheetId="9" state="hidden" r:id="rId9"/>
    <sheet name="Nov-2026" sheetId="10" state="hidden" r:id="rId10"/>
    <sheet name="Dec-2026" sheetId="11" state="hidden" r:id="rId11"/>
  </sheets>
  <definedNames>
    <definedName name="Week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1" l="1"/>
  <c r="R10" i="1"/>
  <c r="P10" i="1"/>
  <c r="N10" i="1"/>
  <c r="L10" i="1"/>
  <c r="J10" i="1"/>
  <c r="H10" i="1"/>
  <c r="F10" i="1"/>
  <c r="D10" i="1"/>
  <c r="AF3" i="5"/>
  <c r="AG3" i="5" s="1"/>
  <c r="AF4" i="5"/>
  <c r="AG4" i="5"/>
  <c r="H6" i="1" s="1"/>
  <c r="AF5" i="5"/>
  <c r="AG5" i="5"/>
  <c r="AF6" i="5"/>
  <c r="AG6" i="5"/>
  <c r="AH20" i="11"/>
  <c r="AG20" i="11"/>
  <c r="AH19" i="11"/>
  <c r="AG19" i="11"/>
  <c r="AH18" i="11"/>
  <c r="AG18" i="11"/>
  <c r="AH17" i="11"/>
  <c r="AG17" i="11"/>
  <c r="AH16" i="11"/>
  <c r="AG16" i="11"/>
  <c r="AH15" i="11"/>
  <c r="AG15" i="11"/>
  <c r="AH14" i="11"/>
  <c r="AH13" i="11"/>
  <c r="AG13" i="11"/>
  <c r="AH12" i="11"/>
  <c r="AG12" i="11"/>
  <c r="AH11" i="11"/>
  <c r="AG11" i="11"/>
  <c r="AH10" i="11"/>
  <c r="AG10" i="11"/>
  <c r="AH9" i="11"/>
  <c r="U8" i="1" s="1"/>
  <c r="AG9" i="11"/>
  <c r="T8" i="1" s="1"/>
  <c r="AH8" i="11"/>
  <c r="U7" i="1" s="1"/>
  <c r="AG8" i="11"/>
  <c r="AH7" i="11"/>
  <c r="AG7" i="11"/>
  <c r="T6" i="1" s="1"/>
  <c r="AH6" i="11"/>
  <c r="AG6" i="11"/>
  <c r="AG19" i="10"/>
  <c r="AF19" i="10"/>
  <c r="AG18" i="10"/>
  <c r="AF18" i="10"/>
  <c r="AG17" i="10"/>
  <c r="AF17" i="10"/>
  <c r="AG16" i="10"/>
  <c r="AF16" i="10"/>
  <c r="AG15" i="10"/>
  <c r="AF15" i="10"/>
  <c r="AG14" i="10"/>
  <c r="AF14" i="10"/>
  <c r="AG13" i="10"/>
  <c r="AF13" i="10"/>
  <c r="AG12" i="10"/>
  <c r="AF12" i="10"/>
  <c r="AG11" i="10"/>
  <c r="AF11" i="10"/>
  <c r="AG10" i="10"/>
  <c r="AF10" i="10"/>
  <c r="AG9" i="10"/>
  <c r="AF9" i="10"/>
  <c r="AG8" i="10"/>
  <c r="AF8" i="10"/>
  <c r="AG7" i="10"/>
  <c r="AF7" i="10"/>
  <c r="AF6" i="10"/>
  <c r="AH6" i="10" s="1"/>
  <c r="S5" i="1" s="1"/>
  <c r="AH18" i="9"/>
  <c r="AG18" i="9"/>
  <c r="AH17" i="9"/>
  <c r="AG17" i="9"/>
  <c r="AH16" i="9"/>
  <c r="AG16" i="9"/>
  <c r="AH15" i="9"/>
  <c r="AG15" i="9"/>
  <c r="AH14" i="9"/>
  <c r="AG14" i="9"/>
  <c r="AH13" i="9"/>
  <c r="AG13" i="9"/>
  <c r="AH12" i="9"/>
  <c r="AG12" i="9"/>
  <c r="AH11" i="9"/>
  <c r="AG11" i="9"/>
  <c r="AH10" i="9"/>
  <c r="AG10" i="9"/>
  <c r="AH9" i="9"/>
  <c r="AG9" i="9"/>
  <c r="P8" i="1" s="1"/>
  <c r="AH8" i="9"/>
  <c r="AG8" i="9"/>
  <c r="AH7" i="9"/>
  <c r="Q6" i="1" s="1"/>
  <c r="AG7" i="9"/>
  <c r="P6" i="1" s="1"/>
  <c r="AH6" i="9"/>
  <c r="Q5" i="1" s="1"/>
  <c r="AG6" i="9"/>
  <c r="AG18" i="8"/>
  <c r="AF18" i="8"/>
  <c r="AG17" i="8"/>
  <c r="AF17" i="8"/>
  <c r="AG16" i="8"/>
  <c r="AF16" i="8"/>
  <c r="AG15" i="8"/>
  <c r="AF15" i="8"/>
  <c r="AG14" i="8"/>
  <c r="AF14" i="8"/>
  <c r="AG13" i="8"/>
  <c r="AF13" i="8"/>
  <c r="AG12" i="8"/>
  <c r="AF12" i="8"/>
  <c r="AG11" i="8"/>
  <c r="AF11" i="8"/>
  <c r="AG10" i="8"/>
  <c r="AF10" i="8"/>
  <c r="AG9" i="8"/>
  <c r="N8" i="1" s="1"/>
  <c r="AF9" i="8"/>
  <c r="AG8" i="8"/>
  <c r="N7" i="1" s="1"/>
  <c r="AF8" i="8"/>
  <c r="AG7" i="8"/>
  <c r="N6" i="1" s="1"/>
  <c r="AF7" i="8"/>
  <c r="AH6" i="8"/>
  <c r="AG6" i="8"/>
  <c r="AF6" i="8"/>
  <c r="AH10" i="7"/>
  <c r="AG10" i="7"/>
  <c r="AH9" i="7"/>
  <c r="M8" i="1" s="1"/>
  <c r="AG9" i="7"/>
  <c r="L8" i="1" s="1"/>
  <c r="AH8" i="7"/>
  <c r="M7" i="1" s="1"/>
  <c r="AG8" i="7"/>
  <c r="L7" i="1" s="1"/>
  <c r="AH7" i="7"/>
  <c r="AG7" i="7"/>
  <c r="L6" i="1" s="1"/>
  <c r="AH6" i="7"/>
  <c r="AG6" i="7"/>
  <c r="AH10" i="6"/>
  <c r="AG10" i="6"/>
  <c r="AH9" i="6"/>
  <c r="AG9" i="6"/>
  <c r="AH8" i="6"/>
  <c r="AG8" i="6"/>
  <c r="K7" i="1" s="1"/>
  <c r="AH7" i="6"/>
  <c r="AG7" i="6"/>
  <c r="K6" i="1" s="1"/>
  <c r="AH6" i="6"/>
  <c r="AG6" i="6"/>
  <c r="AF6" i="6"/>
  <c r="AH6" i="5"/>
  <c r="I8" i="1" s="1"/>
  <c r="AH5" i="5"/>
  <c r="I7" i="1" s="1"/>
  <c r="AH3" i="5"/>
  <c r="I5" i="1" s="1"/>
  <c r="AH6" i="4"/>
  <c r="G8" i="1" s="1"/>
  <c r="AG6" i="4"/>
  <c r="F8" i="1" s="1"/>
  <c r="AH5" i="4"/>
  <c r="G7" i="1" s="1"/>
  <c r="AG5" i="4"/>
  <c r="F7" i="1" s="1"/>
  <c r="AH4" i="4"/>
  <c r="G6" i="1" s="1"/>
  <c r="AG4" i="4"/>
  <c r="F6" i="1" s="1"/>
  <c r="AH3" i="4"/>
  <c r="G5" i="1" s="1"/>
  <c r="AG3" i="4"/>
  <c r="F5" i="1" s="1"/>
  <c r="AF8" i="3"/>
  <c r="AG8" i="3" s="1"/>
  <c r="D8" i="1" s="1"/>
  <c r="AF7" i="3"/>
  <c r="AH7" i="3" s="1"/>
  <c r="E7" i="1" s="1"/>
  <c r="AF6" i="3"/>
  <c r="AH6" i="3" s="1"/>
  <c r="E6" i="1" s="1"/>
  <c r="AF5" i="3"/>
  <c r="AH5" i="3" s="1"/>
  <c r="E5" i="1" s="1"/>
  <c r="AH9" i="2"/>
  <c r="C8" i="1" s="1"/>
  <c r="AG9" i="2"/>
  <c r="B8" i="1" s="1"/>
  <c r="AH8" i="2"/>
  <c r="C7" i="1" s="1"/>
  <c r="AG8" i="2"/>
  <c r="B7" i="1" s="1"/>
  <c r="AH7" i="2"/>
  <c r="C6" i="1" s="1"/>
  <c r="AG7" i="2"/>
  <c r="B6" i="1" s="1"/>
  <c r="AH6" i="2"/>
  <c r="C5" i="1" s="1"/>
  <c r="AG6" i="2"/>
  <c r="B5" i="1" s="1"/>
  <c r="S8" i="1"/>
  <c r="R8" i="1"/>
  <c r="Q8" i="1"/>
  <c r="O8" i="1"/>
  <c r="K8" i="1"/>
  <c r="J8" i="1"/>
  <c r="T7" i="1"/>
  <c r="S7" i="1"/>
  <c r="R7" i="1"/>
  <c r="Q7" i="1"/>
  <c r="P7" i="1"/>
  <c r="O7" i="1"/>
  <c r="J7" i="1"/>
  <c r="U6" i="1"/>
  <c r="S6" i="1"/>
  <c r="R6" i="1"/>
  <c r="O6" i="1"/>
  <c r="M6" i="1"/>
  <c r="J6" i="1"/>
  <c r="U5" i="1"/>
  <c r="T5" i="1"/>
  <c r="P5" i="1"/>
  <c r="O5" i="1"/>
  <c r="N5" i="1"/>
  <c r="M5" i="1"/>
  <c r="M9" i="1" s="1"/>
  <c r="L5" i="1"/>
  <c r="K5" i="1"/>
  <c r="J5" i="1"/>
  <c r="J9" i="1" l="1"/>
  <c r="Q9" i="1"/>
  <c r="U9" i="1"/>
  <c r="O9" i="1"/>
  <c r="S9" i="1"/>
  <c r="F9" i="1"/>
  <c r="G9" i="1"/>
  <c r="AG7" i="3"/>
  <c r="D7" i="1" s="1"/>
  <c r="AH8" i="3"/>
  <c r="E8" i="1" s="1"/>
  <c r="E9" i="1" s="1"/>
  <c r="L9" i="1"/>
  <c r="W5" i="1"/>
  <c r="T9" i="1"/>
  <c r="C9" i="1"/>
  <c r="K9" i="1"/>
  <c r="N9" i="1"/>
  <c r="W7" i="1"/>
  <c r="P9" i="1"/>
  <c r="AH4" i="5"/>
  <c r="I6" i="1" s="1"/>
  <c r="W6" i="1" s="1"/>
  <c r="AG5" i="3"/>
  <c r="D5" i="1" s="1"/>
  <c r="AG6" i="3"/>
  <c r="D6" i="1" s="1"/>
  <c r="V6" i="1" s="1"/>
  <c r="B9" i="1"/>
  <c r="B10" i="1" s="1"/>
  <c r="H8" i="1"/>
  <c r="V8" i="1" s="1"/>
  <c r="H7" i="1"/>
  <c r="AG6" i="10"/>
  <c r="R5" i="1" s="1"/>
  <c r="R9" i="1" s="1"/>
  <c r="AG20" i="9"/>
  <c r="H5" i="1"/>
  <c r="W8" i="1" l="1"/>
  <c r="V7" i="1"/>
  <c r="V5" i="1"/>
  <c r="D9" i="1"/>
  <c r="I9" i="1"/>
  <c r="W9" i="1" s="1"/>
  <c r="H9" i="1"/>
  <c r="V9" i="1" l="1"/>
</calcChain>
</file>

<file path=xl/sharedStrings.xml><?xml version="1.0" encoding="utf-8"?>
<sst xmlns="http://schemas.openxmlformats.org/spreadsheetml/2006/main" count="798" uniqueCount="180">
  <si>
    <t>Hertz RPA Team - Leave Overview (2026)</t>
  </si>
  <si>
    <t>Employee</t>
  </si>
  <si>
    <t>Mar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</si>
  <si>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</si>
  <si>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</si>
  <si>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</si>
  <si>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</si>
  <si>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</si>
  <si>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</si>
  <si>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</si>
  <si>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</si>
  <si>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</si>
  <si>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YTD Planned</t>
  </si>
  <si>
    <t>YTD Sick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</si>
  <si>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</si>
  <si>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</si>
  <si>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</si>
  <si>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</si>
  <si>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</si>
  <si>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</si>
  <si>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</si>
  <si>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</si>
  <si>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</si>
  <si>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</si>
  <si>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</si>
  <si>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</si>
  <si>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</si>
  <si>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</si>
  <si>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</si>
  <si>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</si>
  <si>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</si>
  <si>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</si>
  <si>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</si>
  <si>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</si>
  <si>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</si>
  <si>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</si>
  <si>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</si>
  <si>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Planned</t>
  </si>
  <si>
    <t>Sick</t>
  </si>
  <si>
    <t>Ramanjneyulu P</t>
  </si>
  <si>
    <t>Reshma G</t>
  </si>
  <si>
    <t>Akash</t>
  </si>
  <si>
    <t>Siddharth</t>
  </si>
  <si>
    <t>Total</t>
  </si>
  <si>
    <t>Month on Month</t>
  </si>
  <si>
    <t>Leave Plan worksheet - March 2026</t>
  </si>
  <si>
    <t>Hertz</t>
  </si>
  <si>
    <t>Sun</t>
  </si>
  <si>
    <t>Mon</t>
  </si>
  <si>
    <t>Tue</t>
  </si>
  <si>
    <t>Wed</t>
  </si>
  <si>
    <t>Thu</t>
  </si>
  <si>
    <t>Fri</t>
  </si>
  <si>
    <t>Sat</t>
  </si>
  <si>
    <t>Total Planned Leave Days</t>
  </si>
  <si>
    <t>Total Sick Leave Days</t>
  </si>
  <si>
    <t>Sat2</t>
  </si>
  <si>
    <t>Sun2</t>
  </si>
  <si>
    <t>Mon2</t>
  </si>
  <si>
    <t>Tue3</t>
  </si>
  <si>
    <t>Wed4</t>
  </si>
  <si>
    <t>Thu5</t>
  </si>
  <si>
    <t>Fri6</t>
  </si>
  <si>
    <t>Sat8</t>
  </si>
  <si>
    <t>Sun9</t>
  </si>
  <si>
    <t>Mon10</t>
  </si>
  <si>
    <t>Tue11</t>
  </si>
  <si>
    <t>Wed12</t>
  </si>
  <si>
    <t>Thu2</t>
  </si>
  <si>
    <t>Fri14</t>
  </si>
  <si>
    <t>Sat15</t>
  </si>
  <si>
    <t>Sun16</t>
  </si>
  <si>
    <t>Mon17</t>
  </si>
  <si>
    <t>Tue18</t>
  </si>
  <si>
    <t>Wed19</t>
  </si>
  <si>
    <t>Thu20</t>
  </si>
  <si>
    <t>Fri21</t>
  </si>
  <si>
    <t>Sat22</t>
  </si>
  <si>
    <t>Sun23</t>
  </si>
  <si>
    <t>Mon24</t>
  </si>
  <si>
    <t>Tue25</t>
  </si>
  <si>
    <t>H</t>
  </si>
  <si>
    <t>P</t>
  </si>
  <si>
    <t>S</t>
  </si>
  <si>
    <t>Absence type</t>
  </si>
  <si>
    <t>Code</t>
  </si>
  <si>
    <t xml:space="preserve">Planned Leave </t>
  </si>
  <si>
    <t>Sickness Leave</t>
  </si>
  <si>
    <t>Holiday</t>
  </si>
  <si>
    <t>Leave Plan worksheet - April 2026</t>
  </si>
  <si>
    <t>Wed2</t>
  </si>
  <si>
    <t>Thu3</t>
  </si>
  <si>
    <t>Fri4</t>
  </si>
  <si>
    <t>Sat5</t>
  </si>
  <si>
    <t>Sun6</t>
  </si>
  <si>
    <t>Mon7</t>
  </si>
  <si>
    <t>Tue8</t>
  </si>
  <si>
    <t>Wed9</t>
  </si>
  <si>
    <t>Thu10</t>
  </si>
  <si>
    <t>Fri11</t>
  </si>
  <si>
    <t>Sat12</t>
  </si>
  <si>
    <t>Sun13</t>
  </si>
  <si>
    <t>Mon14</t>
  </si>
  <si>
    <t>Tue15</t>
  </si>
  <si>
    <t>Wed16</t>
  </si>
  <si>
    <t>Thu17</t>
  </si>
  <si>
    <t>Fri18</t>
  </si>
  <si>
    <t>Sat19</t>
  </si>
  <si>
    <t>Sun20</t>
  </si>
  <si>
    <t>Mon21</t>
  </si>
  <si>
    <t>Tue22</t>
  </si>
  <si>
    <t>Wed23</t>
  </si>
  <si>
    <t>Thu24</t>
  </si>
  <si>
    <t>Fri2</t>
  </si>
  <si>
    <t>Sat3</t>
  </si>
  <si>
    <t>Sun4</t>
  </si>
  <si>
    <t>Mon5</t>
  </si>
  <si>
    <t>Tue6</t>
  </si>
  <si>
    <t>Wed7</t>
  </si>
  <si>
    <t>Thu8</t>
  </si>
  <si>
    <t>Fri9</t>
  </si>
  <si>
    <t>Sat10</t>
  </si>
  <si>
    <t>Sun11</t>
  </si>
  <si>
    <t>Mon12</t>
  </si>
  <si>
    <t>Tue13</t>
  </si>
  <si>
    <t>Wed14</t>
  </si>
  <si>
    <t>Thu15</t>
  </si>
  <si>
    <t>Fri16</t>
  </si>
  <si>
    <t>Sat17</t>
  </si>
  <si>
    <t>Sun18</t>
  </si>
  <si>
    <t>Mon19</t>
  </si>
  <si>
    <t>Tue20</t>
  </si>
  <si>
    <t>Wed21</t>
  </si>
  <si>
    <t>Thu22</t>
  </si>
  <si>
    <t>Fri23</t>
  </si>
  <si>
    <t>Sat24</t>
  </si>
  <si>
    <t>Sun25</t>
  </si>
  <si>
    <t>Sat7</t>
  </si>
  <si>
    <t>Sun8</t>
  </si>
  <si>
    <t>Mon9</t>
  </si>
  <si>
    <t>Tue10</t>
  </si>
  <si>
    <t>Wed11</t>
  </si>
  <si>
    <t>Thu12</t>
  </si>
  <si>
    <t>Fri13</t>
  </si>
  <si>
    <t>Sat14</t>
  </si>
  <si>
    <t>Sun15</t>
  </si>
  <si>
    <t>Mon16</t>
  </si>
  <si>
    <t>Tue17</t>
  </si>
  <si>
    <t>Wed18</t>
  </si>
  <si>
    <t>Thu19</t>
  </si>
  <si>
    <t>Fri20</t>
  </si>
  <si>
    <t>Sat21</t>
  </si>
  <si>
    <t>Sun22</t>
  </si>
  <si>
    <t>Mon23</t>
  </si>
  <si>
    <t>Tue24</t>
  </si>
  <si>
    <t>Leave Plan worksheet - July 2026</t>
  </si>
  <si>
    <t>CSI</t>
  </si>
  <si>
    <t>Team</t>
  </si>
  <si>
    <t>Amit Arun Upwanshi</t>
  </si>
  <si>
    <t>Rajesh G</t>
  </si>
  <si>
    <t>Ashrith P</t>
  </si>
  <si>
    <t>Lukas</t>
  </si>
  <si>
    <t>Leave Plan worksheet - August 2026</t>
  </si>
  <si>
    <t>Leave Plan worksheet - September 2026</t>
  </si>
  <si>
    <t>Aishwarya Rajendra</t>
  </si>
  <si>
    <t>Ashish Kumar Pradhan</t>
  </si>
  <si>
    <t>Devanshi Minda</t>
  </si>
  <si>
    <t>Harish Kumar Sampagi Rama</t>
  </si>
  <si>
    <t>Rameshmenan K</t>
  </si>
  <si>
    <t>Syed Awes Hashmi</t>
  </si>
  <si>
    <t>Viveknandan M</t>
  </si>
  <si>
    <t>Yasmeen Khan</t>
  </si>
  <si>
    <t>Leave Plan worksheet - October 2026</t>
  </si>
  <si>
    <t>Yasmin Khan</t>
  </si>
  <si>
    <t>p</t>
  </si>
  <si>
    <t>Mohith Sethia</t>
  </si>
  <si>
    <t>Adarsha SA</t>
  </si>
  <si>
    <t>Leave Plan worksheet - November 2026</t>
  </si>
  <si>
    <t>Leave Plan worksheet - December 2026</t>
  </si>
  <si>
    <t>Ramanjnneyulu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</si>
</sst>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"/>
    <numFmt numFmtId="165" formatCode="##"/>
    <numFmt numFmtId="166" formatCode="ddd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E8ECF1"/>
      </patternFill>
    </fill>
    <fill>
      <patternFill patternType="solid">
        <fgColor theme="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0B050"/>
        <bgColor rgb="FFE8ECF1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E8ECF1"/>
      </patternFill>
    </fill>
    <fill>
      <patternFill patternType="solid">
        <fgColor rgb="FF3399FF"/>
        <bgColor rgb="FFE8ECF1"/>
      </patternFill>
    </fill>
    <fill>
      <patternFill patternType="solid">
        <fgColor rgb="FFFFCC00"/>
        <bgColor indexed="64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D9D9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/>
    <xf numFmtId="0" fontId="2" fillId="6" borderId="0"/>
    <xf numFmtId="0" fontId="3" fillId="7" borderId="0"/>
  </cellStyleXfs>
  <cellXfs count="130">
    <xf numFmtId="0" fontId="0" fillId="0" borderId="0" xfId="0"/>
    <xf numFmtId="0" fontId="1" fillId="0" borderId="0" xfId="0" applyFont="1"/>
    <xf numFmtId="0" fontId="1" fillId="3" borderId="0" xfId="0" applyFont="1" applyFill="1"/>
    <xf numFmtId="164" fontId="4" fillId="3" borderId="0" xfId="2" applyNumberFormat="1" applyFont="1" applyFill="1" applyAlignment="1">
      <alignment horizontal="center" vertical="center" wrapText="1"/>
    </xf>
    <xf numFmtId="0" fontId="4" fillId="3" borderId="0" xfId="2" applyFont="1" applyFill="1" applyAlignment="1">
      <alignment horizontal="center" vertical="center" wrapText="1"/>
    </xf>
    <xf numFmtId="0" fontId="2" fillId="6" borderId="1" xfId="2" applyBorder="1" applyAlignment="1">
      <alignment vertical="center"/>
    </xf>
    <xf numFmtId="0" fontId="6" fillId="6" borderId="1" xfId="2" applyFont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1" xfId="2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3" borderId="1" xfId="3" applyFont="1" applyFill="1" applyBorder="1" applyAlignment="1">
      <alignment horizontal="center" vertical="center" wrapText="1"/>
    </xf>
    <xf numFmtId="164" fontId="4" fillId="3" borderId="0" xfId="2" applyNumberFormat="1" applyFont="1" applyFill="1" applyAlignment="1">
      <alignment horizontal="center" vertical="center"/>
    </xf>
    <xf numFmtId="0" fontId="2" fillId="6" borderId="0" xfId="2" applyAlignment="1">
      <alignment vertical="center"/>
    </xf>
    <xf numFmtId="0" fontId="0" fillId="3" borderId="10" xfId="3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0" xfId="2" applyFont="1" applyFill="1" applyBorder="1" applyAlignment="1">
      <alignment horizontal="center" vertical="center" wrapText="1"/>
    </xf>
    <xf numFmtId="0" fontId="2" fillId="6" borderId="7" xfId="2" applyBorder="1" applyAlignment="1">
      <alignment vertical="center"/>
    </xf>
    <xf numFmtId="0" fontId="1" fillId="3" borderId="10" xfId="0" applyFont="1" applyFill="1" applyBorder="1"/>
    <xf numFmtId="0" fontId="0" fillId="0" borderId="12" xfId="2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/>
    </xf>
    <xf numFmtId="164" fontId="4" fillId="23" borderId="1" xfId="2" applyNumberFormat="1" applyFont="1" applyFill="1" applyBorder="1" applyAlignment="1">
      <alignment horizontal="center" vertical="center"/>
    </xf>
    <xf numFmtId="164" fontId="4" fillId="0" borderId="1" xfId="2" applyNumberFormat="1" applyFont="1" applyFill="1" applyBorder="1" applyAlignment="1">
      <alignment horizontal="center" vertical="center"/>
    </xf>
    <xf numFmtId="165" fontId="4" fillId="23" borderId="1" xfId="2" applyNumberFormat="1" applyFont="1" applyFill="1" applyBorder="1" applyAlignment="1">
      <alignment horizontal="center" vertical="center" wrapText="1"/>
    </xf>
    <xf numFmtId="165" fontId="4" fillId="0" borderId="1" xfId="2" applyNumberFormat="1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3" applyFont="1" applyFill="1" applyBorder="1" applyAlignment="1">
      <alignment horizontal="center" vertical="center" wrapText="1"/>
    </xf>
    <xf numFmtId="0" fontId="0" fillId="23" borderId="1" xfId="3" applyFont="1" applyFill="1" applyBorder="1" applyAlignment="1">
      <alignment horizontal="center" vertical="center" wrapText="1"/>
    </xf>
    <xf numFmtId="166" fontId="5" fillId="0" borderId="8" xfId="2" applyNumberFormat="1" applyFont="1" applyFill="1" applyBorder="1" applyAlignment="1">
      <alignment horizontal="center" vertical="center" wrapText="1"/>
    </xf>
    <xf numFmtId="0" fontId="0" fillId="0" borderId="10" xfId="3" applyFont="1" applyFill="1" applyBorder="1" applyAlignment="1">
      <alignment horizontal="center" vertical="center" wrapText="1"/>
    </xf>
    <xf numFmtId="0" fontId="0" fillId="23" borderId="10" xfId="3" applyFont="1" applyFill="1" applyBorder="1" applyAlignment="1">
      <alignment horizontal="center" vertical="center" wrapText="1"/>
    </xf>
    <xf numFmtId="0" fontId="7" fillId="23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2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14" fillId="22" borderId="1" xfId="2" applyNumberFormat="1" applyFont="1" applyFill="1" applyBorder="1" applyAlignment="1">
      <alignment horizontal="center" vertical="center"/>
    </xf>
    <xf numFmtId="165" fontId="14" fillId="22" borderId="1" xfId="2" applyNumberFormat="1" applyFont="1" applyFill="1" applyBorder="1" applyAlignment="1">
      <alignment horizontal="center" vertical="center" wrapText="1"/>
    </xf>
    <xf numFmtId="165" fontId="1" fillId="22" borderId="1" xfId="2" applyNumberFormat="1" applyFont="1" applyFill="1" applyBorder="1" applyAlignment="1">
      <alignment horizontal="center" vertical="center" wrapText="1"/>
    </xf>
    <xf numFmtId="164" fontId="1" fillId="24" borderId="1" xfId="2" applyNumberFormat="1" applyFont="1" applyFill="1" applyBorder="1" applyAlignment="1">
      <alignment horizontal="center" vertical="center"/>
    </xf>
    <xf numFmtId="165" fontId="1" fillId="24" borderId="1" xfId="2" applyNumberFormat="1" applyFont="1" applyFill="1" applyBorder="1" applyAlignment="1">
      <alignment horizontal="center" vertical="center" wrapText="1"/>
    </xf>
    <xf numFmtId="164" fontId="1" fillId="25" borderId="1" xfId="2" applyNumberFormat="1" applyFont="1" applyFill="1" applyBorder="1" applyAlignment="1">
      <alignment horizontal="center" vertical="center"/>
    </xf>
    <xf numFmtId="165" fontId="1" fillId="25" borderId="1" xfId="2" applyNumberFormat="1" applyFont="1" applyFill="1" applyBorder="1" applyAlignment="1">
      <alignment horizontal="center" vertical="center" wrapText="1"/>
    </xf>
    <xf numFmtId="165" fontId="1" fillId="26" borderId="1" xfId="2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5" xfId="0" applyBorder="1"/>
    <xf numFmtId="0" fontId="0" fillId="0" borderId="6" xfId="0" applyBorder="1"/>
    <xf numFmtId="0" fontId="3" fillId="0" borderId="13" xfId="0" applyFont="1" applyBorder="1"/>
    <xf numFmtId="0" fontId="0" fillId="0" borderId="13" xfId="0" applyBorder="1"/>
    <xf numFmtId="0" fontId="2" fillId="6" borderId="9" xfId="2" applyBorder="1" applyAlignment="1">
      <alignment vertical="center"/>
    </xf>
    <xf numFmtId="0" fontId="0" fillId="0" borderId="15" xfId="0" applyBorder="1"/>
    <xf numFmtId="0" fontId="0" fillId="0" borderId="7" xfId="2" applyFont="1" applyFill="1" applyBorder="1" applyAlignment="1">
      <alignment horizontal="center" vertical="center" wrapText="1"/>
    </xf>
    <xf numFmtId="0" fontId="2" fillId="6" borderId="4" xfId="2" applyBorder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7" fillId="23" borderId="11" xfId="0" applyFont="1" applyFill="1" applyBorder="1" applyAlignment="1">
      <alignment horizontal="center" vertical="center" wrapText="1"/>
    </xf>
    <xf numFmtId="0" fontId="0" fillId="23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2" applyFont="1" applyFill="1" applyBorder="1" applyAlignment="1">
      <alignment horizontal="center" vertical="center" wrapText="1"/>
    </xf>
    <xf numFmtId="0" fontId="0" fillId="0" borderId="16" xfId="2" applyFont="1" applyFill="1" applyBorder="1" applyAlignment="1">
      <alignment horizontal="center" vertical="center" wrapText="1"/>
    </xf>
    <xf numFmtId="0" fontId="6" fillId="6" borderId="17" xfId="2" applyFont="1" applyBorder="1" applyAlignment="1">
      <alignment horizontal="left" vertical="center"/>
    </xf>
    <xf numFmtId="164" fontId="1" fillId="26" borderId="14" xfId="2" applyNumberFormat="1" applyFont="1" applyFill="1" applyBorder="1" applyAlignment="1">
      <alignment horizontal="center" vertical="center"/>
    </xf>
    <xf numFmtId="164" fontId="1" fillId="24" borderId="14" xfId="2" applyNumberFormat="1" applyFont="1" applyFill="1" applyBorder="1" applyAlignment="1">
      <alignment horizontal="center" vertical="center"/>
    </xf>
    <xf numFmtId="164" fontId="4" fillId="9" borderId="13" xfId="2" applyNumberFormat="1" applyFont="1" applyFill="1" applyBorder="1" applyAlignment="1">
      <alignment horizontal="center" vertical="center" wrapText="1"/>
    </xf>
    <xf numFmtId="164" fontId="4" fillId="14" borderId="15" xfId="2" applyNumberFormat="1" applyFont="1" applyFill="1" applyBorder="1" applyAlignment="1">
      <alignment horizontal="center" vertical="center" wrapText="1"/>
    </xf>
    <xf numFmtId="0" fontId="6" fillId="6" borderId="6" xfId="2" applyFont="1" applyBorder="1" applyAlignment="1">
      <alignment horizontal="left" vertical="center"/>
    </xf>
    <xf numFmtId="164" fontId="1" fillId="25" borderId="14" xfId="2" applyNumberFormat="1" applyFont="1" applyFill="1" applyBorder="1" applyAlignment="1">
      <alignment horizontal="center" vertical="center"/>
    </xf>
    <xf numFmtId="165" fontId="1" fillId="22" borderId="14" xfId="2" applyNumberFormat="1" applyFont="1" applyFill="1" applyBorder="1" applyAlignment="1">
      <alignment horizontal="center" vertical="center" wrapText="1"/>
    </xf>
    <xf numFmtId="164" fontId="4" fillId="9" borderId="14" xfId="2" applyNumberFormat="1" applyFont="1" applyFill="1" applyBorder="1" applyAlignment="1">
      <alignment horizontal="center" vertical="center" wrapText="1"/>
    </xf>
    <xf numFmtId="164" fontId="4" fillId="14" borderId="5" xfId="2" applyNumberFormat="1" applyFont="1" applyFill="1" applyBorder="1" applyAlignment="1">
      <alignment horizontal="center" vertical="center" wrapText="1"/>
    </xf>
    <xf numFmtId="0" fontId="3" fillId="0" borderId="15" xfId="0" applyFont="1" applyBorder="1"/>
    <xf numFmtId="164" fontId="1" fillId="22" borderId="14" xfId="2" applyNumberFormat="1" applyFont="1" applyFill="1" applyBorder="1" applyAlignment="1">
      <alignment horizontal="center" vertical="center"/>
    </xf>
    <xf numFmtId="164" fontId="1" fillId="9" borderId="14" xfId="2" applyNumberFormat="1" applyFont="1" applyFill="1" applyBorder="1" applyAlignment="1">
      <alignment horizontal="center" vertical="center" wrapText="1"/>
    </xf>
    <xf numFmtId="164" fontId="1" fillId="14" borderId="5" xfId="2" applyNumberFormat="1" applyFont="1" applyFill="1" applyBorder="1" applyAlignment="1">
      <alignment horizontal="center" vertical="center" wrapText="1"/>
    </xf>
    <xf numFmtId="0" fontId="0" fillId="0" borderId="11" xfId="3" applyFont="1" applyFill="1" applyBorder="1" applyAlignment="1">
      <alignment horizontal="center" vertical="center" wrapText="1"/>
    </xf>
    <xf numFmtId="0" fontId="0" fillId="23" borderId="11" xfId="3" applyFont="1" applyFill="1" applyBorder="1" applyAlignment="1">
      <alignment horizontal="center" vertical="center" wrapText="1"/>
    </xf>
    <xf numFmtId="0" fontId="1" fillId="22" borderId="14" xfId="2" applyFont="1" applyFill="1" applyBorder="1" applyAlignment="1">
      <alignment horizontal="center" vertical="center"/>
    </xf>
    <xf numFmtId="164" fontId="14" fillId="24" borderId="1" xfId="2" applyNumberFormat="1" applyFont="1" applyFill="1" applyBorder="1" applyAlignment="1">
      <alignment horizontal="center" vertical="center"/>
    </xf>
    <xf numFmtId="0" fontId="14" fillId="22" borderId="1" xfId="2" applyFont="1" applyFill="1" applyBorder="1" applyAlignment="1">
      <alignment horizontal="center" vertical="center"/>
    </xf>
    <xf numFmtId="164" fontId="14" fillId="9" borderId="1" xfId="2" applyNumberFormat="1" applyFont="1" applyFill="1" applyBorder="1" applyAlignment="1">
      <alignment horizontal="center" vertical="center" wrapText="1"/>
    </xf>
    <xf numFmtId="164" fontId="14" fillId="14" borderId="1" xfId="2" applyNumberFormat="1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  <xf numFmtId="0" fontId="15" fillId="21" borderId="10" xfId="0" applyFont="1" applyFill="1" applyBorder="1" applyAlignment="1">
      <alignment horizontal="center" vertical="center" wrapText="1"/>
    </xf>
    <xf numFmtId="0" fontId="11" fillId="15" borderId="10" xfId="0" applyFont="1" applyFill="1" applyBorder="1" applyAlignment="1">
      <alignment horizontal="center" vertical="center" wrapText="1"/>
    </xf>
    <xf numFmtId="0" fontId="11" fillId="17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1" fillId="18" borderId="10" xfId="0" applyFont="1" applyFill="1" applyBorder="1" applyAlignment="1">
      <alignment horizontal="center" vertical="center" wrapText="1"/>
    </xf>
    <xf numFmtId="0" fontId="11" fillId="19" borderId="10" xfId="0" applyFont="1" applyFill="1" applyBorder="1" applyAlignment="1">
      <alignment horizontal="center" vertical="center" wrapText="1"/>
    </xf>
    <xf numFmtId="0" fontId="11" fillId="20" borderId="10" xfId="0" applyFont="1" applyFill="1" applyBorder="1" applyAlignment="1">
      <alignment horizontal="center" vertical="center" wrapText="1"/>
    </xf>
    <xf numFmtId="0" fontId="11" fillId="21" borderId="10" xfId="0" applyFont="1" applyFill="1" applyBorder="1" applyAlignment="1">
      <alignment horizontal="center" vertical="center" wrapText="1"/>
    </xf>
    <xf numFmtId="0" fontId="12" fillId="16" borderId="10" xfId="0" applyFont="1" applyFill="1" applyBorder="1" applyAlignment="1">
      <alignment horizontal="center" vertical="center" wrapText="1"/>
    </xf>
    <xf numFmtId="167" fontId="0" fillId="0" borderId="10" xfId="0" applyNumberFormat="1" applyBorder="1" applyAlignment="1">
      <alignment horizontal="center" vertical="center" wrapText="1"/>
    </xf>
    <xf numFmtId="167" fontId="13" fillId="0" borderId="10" xfId="0" applyNumberFormat="1" applyFont="1" applyBorder="1" applyAlignment="1">
      <alignment horizontal="center" vertical="center" wrapText="1"/>
    </xf>
    <xf numFmtId="167" fontId="13" fillId="22" borderId="10" xfId="0" applyNumberFormat="1" applyFont="1" applyFill="1" applyBorder="1" applyAlignment="1">
      <alignment horizontal="center" vertical="center"/>
    </xf>
    <xf numFmtId="167" fontId="13" fillId="22" borderId="10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vertical="center"/>
    </xf>
    <xf numFmtId="0" fontId="13" fillId="27" borderId="10" xfId="0" applyFont="1" applyFill="1" applyBorder="1"/>
    <xf numFmtId="0" fontId="10" fillId="0" borderId="0" xfId="0" applyFont="1" applyAlignment="1">
      <alignment horizontal="center" vertical="center"/>
    </xf>
    <xf numFmtId="0" fontId="0" fillId="0" borderId="0" xfId="0"/>
    <xf numFmtId="0" fontId="15" fillId="17" borderId="10" xfId="0" applyFont="1" applyFill="1" applyBorder="1" applyAlignment="1">
      <alignment horizontal="center" vertical="center" wrapText="1"/>
    </xf>
    <xf numFmtId="0" fontId="15" fillId="18" borderId="10" xfId="0" applyFont="1" applyFill="1" applyBorder="1" applyAlignment="1">
      <alignment horizontal="center" vertical="center" wrapText="1"/>
    </xf>
    <xf numFmtId="0" fontId="15" fillId="19" borderId="10" xfId="0" applyFont="1" applyFill="1" applyBorder="1" applyAlignment="1">
      <alignment horizontal="center" vertical="center" wrapText="1"/>
    </xf>
    <xf numFmtId="0" fontId="15" fillId="20" borderId="10" xfId="0" applyFont="1" applyFill="1" applyBorder="1" applyAlignment="1">
      <alignment horizontal="center" vertical="center" wrapText="1"/>
    </xf>
    <xf numFmtId="167" fontId="13" fillId="27" borderId="10" xfId="0" applyNumberFormat="1" applyFont="1" applyFill="1" applyBorder="1" applyAlignment="1">
      <alignment horizontal="center"/>
    </xf>
    <xf numFmtId="0" fontId="13" fillId="27" borderId="10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164" fontId="2" fillId="4" borderId="1" xfId="1" applyNumberForma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164" fontId="4" fillId="14" borderId="1" xfId="2" applyNumberFormat="1" applyFont="1" applyFill="1" applyBorder="1" applyAlignment="1">
      <alignment horizontal="center" vertical="center" wrapText="1"/>
    </xf>
    <xf numFmtId="0" fontId="6" fillId="6" borderId="1" xfId="2" applyFont="1" applyBorder="1" applyAlignment="1">
      <alignment horizontal="left" vertical="center"/>
    </xf>
    <xf numFmtId="164" fontId="4" fillId="9" borderId="1" xfId="2" applyNumberFormat="1" applyFont="1" applyFill="1" applyBorder="1" applyAlignment="1">
      <alignment horizontal="center" vertical="center" wrapText="1"/>
    </xf>
    <xf numFmtId="166" fontId="5" fillId="0" borderId="7" xfId="2" applyNumberFormat="1" applyFont="1" applyFill="1" applyBorder="1" applyAlignment="1">
      <alignment horizontal="center" vertical="center" wrapText="1"/>
    </xf>
    <xf numFmtId="0" fontId="0" fillId="0" borderId="8" xfId="0" applyBorder="1"/>
    <xf numFmtId="166" fontId="5" fillId="23" borderId="1" xfId="2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9" fillId="11" borderId="1" xfId="0" applyFont="1" applyFill="1" applyBorder="1" applyAlignment="1">
      <alignment horizontal="center" vertical="center"/>
    </xf>
    <xf numFmtId="166" fontId="5" fillId="0" borderId="11" xfId="2" applyNumberFormat="1" applyFont="1" applyFill="1" applyBorder="1" applyAlignment="1">
      <alignment horizontal="left" vertical="center" wrapText="1"/>
    </xf>
  </cellXfs>
  <cellStyles count="4">
    <cellStyle name="40% - Accent3" xfId="3" builtinId="39"/>
    <cellStyle name="Accent1" xfId="2" builtinId="29"/>
    <cellStyle name="Accent2" xfId="1" builtinId="33"/>
    <cellStyle name="Normal" xfId="0" builtinId="0"/>
  </cellStyles>
  <dxfs count="228"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solid">
          <fgColor rgb="FF87CEEB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solid">
          <fgColor rgb="FF87CEEB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solid">
          <fgColor rgb="FF87CEEB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solid">
          <fgColor rgb="FF87CEEB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solid">
          <fgColor rgb="FF87CEEB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solid">
          <fgColor rgb="FF87CEEB"/>
        </patternFill>
      </fill>
    </dxf>
    <dxf>
      <fill>
        <patternFill patternType="solid">
          <fgColor rgb="FF87CEEB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solid">
          <fgColor rgb="FF87CEEB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solid">
          <fgColor rgb="FF87CEEB"/>
        </patternFill>
      </fill>
    </dxf>
    <dxf>
      <fill>
        <patternFill patternType="solid">
          <fgColor rgb="FF87CEEB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mmm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7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F361BE-77C3-435E-BC63-845B710EC09E}" name="Table6" displayName="Table6" ref="A3:W9" totalsRowShown="0" headerRowDxfId="227" dataDxfId="225" headerRowBorderDxfId="226" tableBorderDxfId="224">
  <autoFilter ref="A3:W9" xr:uid="{40F361BE-77C3-435E-BC63-845B710EC0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2CC82E5C-5196-4E28-AA1C-F3A31C8434B6}" name="Column1" dataDxfId="223"/>
    <tableColumn id="2" xr3:uid="{BC02DA11-E82D-4394-9FBA-00CDEACF3628}" name="Column2" dataDxfId="222"/>
    <tableColumn id="3" xr3:uid="{AE83FB98-9A6B-41B4-AA1B-E45CAF8CE575}" name="Column3" dataDxfId="221"/>
    <tableColumn id="4" xr3:uid="{CB06E698-AC15-4B5C-A4A3-BE19862272E2}" name="Column4" dataDxfId="220"/>
    <tableColumn id="5" xr3:uid="{185EA026-BA6F-4B6E-97AF-32DD14B03CB1}" name="Column5" dataDxfId="219"/>
    <tableColumn id="6" xr3:uid="{AFB8A3C2-5A86-4C34-8988-82ADDB2AF122}" name="Column6" dataDxfId="218"/>
    <tableColumn id="7" xr3:uid="{2EE8854E-37FF-4AF9-B8B4-A3331C6BAA62}" name="Column7" dataDxfId="217"/>
    <tableColumn id="8" xr3:uid="{038B91ED-1C16-49D7-91AB-7904A9B422BC}" name="Column8" dataDxfId="216"/>
    <tableColumn id="9" xr3:uid="{CAB2CFDA-2E6D-4EBD-9B2E-44AC5978DFB0}" name="Column9" dataDxfId="215"/>
    <tableColumn id="10" xr3:uid="{089D4738-30D6-4C50-AF49-A24699F9746E}" name="Column10" dataDxfId="214"/>
    <tableColumn id="11" xr3:uid="{2188F04C-B1B1-45F7-AE65-81918DBBA6CA}" name="Column11" dataDxfId="213"/>
    <tableColumn id="12" xr3:uid="{993BF1E4-E62C-4354-9058-B57E85394DE3}" name="Column12" dataDxfId="212"/>
    <tableColumn id="13" xr3:uid="{1030DBE9-6AD1-4355-8E57-46BFE2770898}" name="Column13" dataDxfId="211"/>
    <tableColumn id="14" xr3:uid="{66A27AD2-36B1-4465-AC91-809D9E418D90}" name="Column14" dataDxfId="210"/>
    <tableColumn id="15" xr3:uid="{ECAAB6B4-85F0-4703-8171-345C8100A7D7}" name="Column15" dataDxfId="209"/>
    <tableColumn id="16" xr3:uid="{108EDA3C-1397-4E5C-A77D-534425EE8F2B}" name="Column16" dataDxfId="208"/>
    <tableColumn id="17" xr3:uid="{E95A26F8-DB88-43C1-B5A9-82B2E29DC3DB}" name="Column17" dataDxfId="207"/>
    <tableColumn id="18" xr3:uid="{DDA7094D-593F-4AFD-9472-50D2EC2AFC15}" name="Column18" dataDxfId="206"/>
    <tableColumn id="19" xr3:uid="{F07183C2-F2FA-4691-96E4-6E940CACF745}" name="Column19" dataDxfId="205"/>
    <tableColumn id="20" xr3:uid="{B9466C7A-83E2-424A-97EB-5027809E612E}" name="Column20" dataDxfId="204"/>
    <tableColumn id="21" xr3:uid="{22BE1CA4-AD6F-4936-980B-51658411BDA3}" name="Column21" dataDxfId="203"/>
    <tableColumn id="22" xr3:uid="{68F1F9CF-7487-46FD-AC37-C694F4A20A71}" name="Column22" dataDxfId="202">
      <calculatedColumnFormula>SUM(B4,D4,F4,H4,J4,L4,N4,P4,R4,T4)</calculatedColumnFormula>
    </tableColumn>
    <tableColumn id="23" xr3:uid="{13E841DA-77E2-4650-81E1-247B97F0CC43}" name="Column23" dataDxfId="201">
      <calculatedColumnFormula>SUM(C4,E4,G4,I4,K4,M4,O4,Q4,S4,U4)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23D1FA-F229-457D-9378-BF15C2A8490E}" name="Table5" displayName="Table5" ref="A4:AH9" totalsRowShown="0" headerRowBorderDxfId="200" tableBorderDxfId="199">
  <autoFilter ref="A4:AH9" xr:uid="{2423D1FA-F229-457D-9378-BF15C2A849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1185B61B-D97C-4AE4-98E0-0A6EA84B4992}" name="Hertz" dataDxfId="198" dataCellStyle="Accent1"/>
    <tableColumn id="2" xr3:uid="{47695ED4-812B-4E8F-BEFC-52618F928549}" name="Sat" dataDxfId="197"/>
    <tableColumn id="3" xr3:uid="{2F10B116-2C44-48AA-830B-A0F2EDEB5BCF}" name="Mon" dataDxfId="196"/>
    <tableColumn id="4" xr3:uid="{A7922713-D5C4-493B-AD64-A72837D0651A}" name="Tue" dataDxfId="195"/>
    <tableColumn id="5" xr3:uid="{6AAAF2A0-4B85-4628-8E3D-9A4FDCBAA135}" name="Wed" dataDxfId="194"/>
    <tableColumn id="6" xr3:uid="{12A0910C-DF0D-4DC5-B3F7-637F7EF62C01}" name="Thu" dataDxfId="193"/>
    <tableColumn id="7" xr3:uid="{1E36E629-00F6-44FA-AAE8-E516F93016F2}" name="Fri" dataDxfId="192"/>
    <tableColumn id="8" xr3:uid="{F530C7BD-4C05-4957-8ED7-F9B202B282A2}" name="Sat2" dataDxfId="191"/>
    <tableColumn id="9" xr3:uid="{879C1A2A-120D-4637-B00C-A2E00246319F}" name="Sun2" dataDxfId="190"/>
    <tableColumn id="10" xr3:uid="{CC5A3300-0794-492A-BB3F-A3CF9ACA2AC7}" name="Mon2" dataDxfId="189"/>
    <tableColumn id="11" xr3:uid="{4E436C7A-5CDE-4C96-BBAA-7144FEDAF32A}" name="Tue3" dataDxfId="188"/>
    <tableColumn id="12" xr3:uid="{C9C914E5-3B97-4504-BE90-BA27DBDB339B}" name="Wed4" dataDxfId="187"/>
    <tableColumn id="13" xr3:uid="{57A1CA7A-48FA-485B-8FA6-27EF635486BC}" name="Thu5" dataDxfId="186"/>
    <tableColumn id="14" xr3:uid="{8EC4D883-E051-446D-8C6B-8492536ACE8F}" name="Fri6" dataDxfId="185"/>
    <tableColumn id="15" xr3:uid="{93CC9CAD-43DC-420D-AD7A-4E12A5A9F901}" name="Sat8" dataDxfId="184"/>
    <tableColumn id="16" xr3:uid="{08CF0FD3-254B-4101-BA51-48D061611BAA}" name="Sun9" dataDxfId="183"/>
    <tableColumn id="17" xr3:uid="{923A7059-AA70-4D0A-9DFC-837706719211}" name="Mon10" dataDxfId="182"/>
    <tableColumn id="18" xr3:uid="{DB2660ED-3C5B-4DD6-9A21-63380A7A166A}" name="Tue11" dataDxfId="181" dataCellStyle="40% - Accent3"/>
    <tableColumn id="19" xr3:uid="{D2CFA97B-9C86-4897-9492-A7F55B1C8FD2}" name="Wed12" dataDxfId="180" dataCellStyle="40% - Accent3"/>
    <tableColumn id="20" xr3:uid="{97B4811E-8CC3-41FA-86D3-666005052A35}" name="Thu2" dataDxfId="179" dataCellStyle="40% - Accent3"/>
    <tableColumn id="21" xr3:uid="{A01AB158-B840-4793-9A61-0CE6DC95AD1A}" name="Fri14" dataDxfId="178" dataCellStyle="40% - Accent3"/>
    <tableColumn id="22" xr3:uid="{8F43F40B-6511-4083-9663-32BEB373E1EC}" name="Sat15" dataDxfId="177" dataCellStyle="40% - Accent3"/>
    <tableColumn id="23" xr3:uid="{F1A56978-B3AC-4D3E-B201-B4C4287A1478}" name="Sun16" dataDxfId="176"/>
    <tableColumn id="24" xr3:uid="{8C7DC37B-CCD8-49BD-BDF7-937744AFE652}" name="Mon17" dataDxfId="175"/>
    <tableColumn id="25" xr3:uid="{B876C10C-3632-47ED-835E-C07381A93D3C}" name="Tue18" dataDxfId="174" dataCellStyle="40% - Accent3"/>
    <tableColumn id="26" xr3:uid="{92E045BC-4F56-493C-B799-D5BA0FB75B9C}" name="Wed19" dataDxfId="173" dataCellStyle="40% - Accent3"/>
    <tableColumn id="27" xr3:uid="{4385ACDC-EDA3-4725-95F1-D26FFBB506B1}" name="Thu20" dataDxfId="172" dataCellStyle="40% - Accent3"/>
    <tableColumn id="28" xr3:uid="{AC135A79-2897-4107-9C75-BF0BB29E919A}" name="Fri21" dataDxfId="171" dataCellStyle="40% - Accent3"/>
    <tableColumn id="29" xr3:uid="{072FEF47-AA66-4CC2-9029-2EB90A6A390D}" name="Sat22" dataDxfId="170" dataCellStyle="40% - Accent3"/>
    <tableColumn id="30" xr3:uid="{C55B149D-3A22-4A17-98F4-C35779D9CF83}" name="Sun23" dataDxfId="169"/>
    <tableColumn id="31" xr3:uid="{B231DEFE-563C-4D84-B2C6-687C38B17505}" name="Mon24" dataDxfId="168"/>
    <tableColumn id="32" xr3:uid="{C085BA50-5652-4305-A3AA-6426F328F5AC}" name="Tue25" dataDxfId="167" dataCellStyle="40% - Accent3"/>
    <tableColumn id="33" xr3:uid="{AD62899F-E1AC-473B-B685-BC0C9DCDE604}" name="Total Planned Leave Days" dataDxfId="166" dataCellStyle="Accent1">
      <calculatedColumnFormula>COUNTIF(B5:AF5,"P")</calculatedColumnFormula>
    </tableColumn>
    <tableColumn id="34" xr3:uid="{309877D3-30FF-4C6B-A732-956F7B25D1E9}" name="Total Sick Leave Days" dataDxfId="165" dataCellStyle="Accent1">
      <calculatedColumnFormula>COUNTIF(B5:AF5,"S")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EEF7E5-FAC2-4B08-8017-2CA1093AB47B}" name="Table4" displayName="Table4" ref="A3:AG8" totalsRowShown="0" headerRowDxfId="164" dataDxfId="162" headerRowBorderDxfId="163" tableBorderDxfId="161" headerRowCellStyle="Accent1">
  <autoFilter ref="A3:AG8" xr:uid="{4EEEF7E5-FAC2-4B08-8017-2CA1093AB4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xr3:uid="{6D259E90-DAD0-4C07-A9CF-A35FC3524627}" name="Hertz" dataDxfId="160" dataCellStyle="Accent1"/>
    <tableColumn id="2" xr3:uid="{398B2FF4-AD5C-4230-9824-AC3F1CE8D690}" name="Wed" dataDxfId="159"/>
    <tableColumn id="3" xr3:uid="{64DF0061-71CF-4823-A392-9FCBBD0CFDE8}" name="Thu" dataDxfId="158"/>
    <tableColumn id="4" xr3:uid="{CD55E9A2-2BCE-4A36-8173-DB8A26A2EA6B}" name="Fri" dataDxfId="157"/>
    <tableColumn id="5" xr3:uid="{03BA56B0-3E32-4976-8575-E550B7E03697}" name="Sat" dataDxfId="156"/>
    <tableColumn id="6" xr3:uid="{4E433C0D-172D-4DAE-A378-C0AFA1C30EFA}" name="Sun" dataDxfId="155"/>
    <tableColumn id="7" xr3:uid="{984C61FB-C6BB-40CB-BD6D-F0F1F38B764A}" name="Mon" dataDxfId="154"/>
    <tableColumn id="8" xr3:uid="{05C972E5-60A6-4975-8123-4D09C993F8E6}" name="Tue" dataDxfId="153"/>
    <tableColumn id="9" xr3:uid="{D3A4A82A-B161-44D7-889E-ABC0AF326E10}" name="Wed2" dataDxfId="152"/>
    <tableColumn id="10" xr3:uid="{A4534B52-4AC8-4563-9C21-86BC78D60AC7}" name="Thu3" dataDxfId="151"/>
    <tableColumn id="11" xr3:uid="{DEB13969-4A8A-4BAB-AAA1-27B331916361}" name="Fri4" dataDxfId="150"/>
    <tableColumn id="12" xr3:uid="{D2EC28BD-9207-4D47-B3A8-44D308EBBEC8}" name="Sat5" dataDxfId="149"/>
    <tableColumn id="13" xr3:uid="{E54F7C1A-AC91-45EA-ABCB-EFF99EB73E5C}" name="Sun6" dataDxfId="148"/>
    <tableColumn id="14" xr3:uid="{BA5B5591-5103-4D7C-9C7A-93E490F3BAE2}" name="Mon7" dataDxfId="147"/>
    <tableColumn id="15" xr3:uid="{90226ED5-C70D-4C66-B25E-DCF88FA3FA08}" name="Tue8" dataDxfId="146"/>
    <tableColumn id="16" xr3:uid="{19EBF3BC-E4E1-4F2A-A7E7-910B133DC2A7}" name="Wed9" dataDxfId="145"/>
    <tableColumn id="17" xr3:uid="{ACBC1632-7EC4-44AB-A395-AD6CBFD32121}" name="Thu10" dataDxfId="144"/>
    <tableColumn id="18" xr3:uid="{FA7E8EE2-4EA2-49B6-B31A-0E584F7A7351}" name="Fri11" dataDxfId="143"/>
    <tableColumn id="19" xr3:uid="{267E4894-35C4-41B6-BFE4-B8E3A553BB6D}" name="Sat12" dataDxfId="142"/>
    <tableColumn id="20" xr3:uid="{9F65B002-AABF-44F3-881F-C177F9356098}" name="Sun13" dataDxfId="141"/>
    <tableColumn id="21" xr3:uid="{DF986838-F9D8-4ED6-A977-D2D9EB5952AD}" name="Mon14" dataDxfId="140"/>
    <tableColumn id="22" xr3:uid="{62AB2A86-0385-43A4-9689-B81E5A0822E3}" name="Tue15" dataDxfId="139"/>
    <tableColumn id="23" xr3:uid="{5583D270-2BD2-4689-955E-0E09F8DAE3EE}" name="Wed16" dataDxfId="138"/>
    <tableColumn id="24" xr3:uid="{BBC3B9E3-66C3-4377-93FC-5A172CEA2D60}" name="Thu17" dataDxfId="137"/>
    <tableColumn id="25" xr3:uid="{B6B96E9E-C850-42BA-BD74-081477CD80EE}" name="Fri18" dataDxfId="136"/>
    <tableColumn id="26" xr3:uid="{3956DDEC-1692-4152-BBDA-B2BAF7BB4D39}" name="Sat19" dataDxfId="135"/>
    <tableColumn id="27" xr3:uid="{FAC26BBC-030E-44B1-829E-E3A5C0B3D99D}" name="Sun20" dataDxfId="134"/>
    <tableColumn id="28" xr3:uid="{18419FEB-BAA3-4039-8035-89F6F10FEFF9}" name="Mon21" dataDxfId="133"/>
    <tableColumn id="29" xr3:uid="{19C1ECF3-7410-4272-81BF-B1DB4FCB7D83}" name="Tue22" dataDxfId="132"/>
    <tableColumn id="30" xr3:uid="{59901A52-A0A9-47A3-A71B-40EECACD3D3D}" name="Wed23" dataDxfId="131"/>
    <tableColumn id="31" xr3:uid="{46401E9C-ADB3-443C-95C3-64E0F1B4ED4F}" name="Thu24" dataDxfId="130"/>
    <tableColumn id="32" xr3:uid="{E517EBC1-DF42-4804-A789-DB42E344880B}" name="Total Planned Leave Days" dataDxfId="129" dataCellStyle="Accent1">
      <calculatedColumnFormula>(COUNTIF(B4:AC4,"P"))</calculatedColumnFormula>
    </tableColumn>
    <tableColumn id="33" xr3:uid="{4564543F-703F-42C5-B5DC-1E29A2D5814E}" name="Total Sick Leave Days" dataDxfId="128" dataCellStyle="Accent1">
      <calculatedColumnFormula>COUNTIF(B4:AF4,"P")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7FFC89-59CA-4400-A5A0-96DD9DB2FE31}" name="Table3" displayName="Table3" ref="A1:AH6" totalsRowShown="0" headerRowBorderDxfId="127" tableBorderDxfId="126">
  <autoFilter ref="A1:AH6" xr:uid="{237FFC89-59CA-4400-A5A0-96DD9DB2FE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50719B1D-F17A-4FF0-AF76-613E12BEA862}" name="Hertz" dataDxfId="125" dataCellStyle="Accent1"/>
    <tableColumn id="2" xr3:uid="{41D8154B-0DD5-4BC3-9C8D-E8B61E6F065C}" name="Fri" dataDxfId="124"/>
    <tableColumn id="3" xr3:uid="{B5B354CE-5692-478F-B937-8B71AF83F59D}" name="Sat" dataDxfId="123"/>
    <tableColumn id="4" xr3:uid="{3EF2955E-1593-4243-882E-04E3057F99EB}" name="Sun" dataDxfId="122"/>
    <tableColumn id="5" xr3:uid="{2A908F75-A16F-4414-9770-343CEC694A6F}" name="Mon" dataDxfId="121"/>
    <tableColumn id="6" xr3:uid="{F0AE5914-EA55-4BF1-9076-3232E623E9FC}" name="Tue" dataDxfId="120"/>
    <tableColumn id="7" xr3:uid="{D94F058F-19BC-4582-BB80-AF0CE1E39AE1}" name="Wed" dataDxfId="119"/>
    <tableColumn id="8" xr3:uid="{A000028D-F496-4D87-B46F-AACB084DD2E1}" name="Thu" dataDxfId="118"/>
    <tableColumn id="9" xr3:uid="{A397B4A8-044A-4920-8BC7-561F162FF90E}" name="Fri2" dataDxfId="117"/>
    <tableColumn id="10" xr3:uid="{77FC9A9F-B081-41CF-A7D8-A08A603DEADA}" name="Sat3" dataDxfId="116"/>
    <tableColumn id="11" xr3:uid="{859DE019-3AA1-4830-BA43-9926299C8337}" name="Sun4" dataDxfId="115"/>
    <tableColumn id="12" xr3:uid="{98D642A9-CAAD-4F80-9D07-917A1A45C7E8}" name="Mon5" dataDxfId="114"/>
    <tableColumn id="13" xr3:uid="{1F728368-E338-461A-8C7E-49E70475FCFD}" name="Tue6" dataDxfId="113"/>
    <tableColumn id="14" xr3:uid="{0C161EC5-483C-4A5E-A743-AA5BA751704E}" name="Wed7" dataDxfId="112"/>
    <tableColumn id="15" xr3:uid="{23C93273-4F2E-4911-8A91-8FE78F30E449}" name="Thu8" dataDxfId="111"/>
    <tableColumn id="16" xr3:uid="{4DC48284-04EC-4BC2-8800-D120840A550B}" name="Fri9" dataDxfId="110"/>
    <tableColumn id="17" xr3:uid="{38E24256-7767-484E-8064-489BFC5F45CB}" name="Sat10" dataDxfId="109"/>
    <tableColumn id="18" xr3:uid="{A78AA13F-1CB4-43BC-8B56-3D142146F451}" name="Sun11" dataDxfId="108"/>
    <tableColumn id="19" xr3:uid="{B2BCB631-50A6-46C7-89AB-AF37073D804D}" name="Mon12" dataDxfId="107"/>
    <tableColumn id="20" xr3:uid="{EA75038A-59F7-48E2-91A6-9CD72F2588C2}" name="Tue13" dataDxfId="106"/>
    <tableColumn id="21" xr3:uid="{C4F122FF-F6EA-48FF-ABD7-BC072775041B}" name="Wed14" dataDxfId="105"/>
    <tableColumn id="22" xr3:uid="{CF5CA102-8DC2-40D0-A2EA-5F415ADC077B}" name="Thu15" dataDxfId="104"/>
    <tableColumn id="23" xr3:uid="{52575DB2-51F1-4A43-95CE-8A6FFFA0E56A}" name="Fri16" dataDxfId="103"/>
    <tableColumn id="24" xr3:uid="{E622E3E2-4F4A-41A3-8425-F1354C06C54A}" name="Sat17" dataDxfId="102"/>
    <tableColumn id="25" xr3:uid="{7EF0163D-22A3-427C-83E2-0C0D9FCDE30E}" name="Sun18" dataDxfId="101"/>
    <tableColumn id="26" xr3:uid="{1499049B-7BDB-47F6-B0B9-CA43B222B8B0}" name="Mon19" dataDxfId="100"/>
    <tableColumn id="27" xr3:uid="{9232DE14-AA54-4C92-B5DF-1048FD8FA754}" name="Tue20" dataDxfId="99"/>
    <tableColumn id="28" xr3:uid="{AC644AAC-1851-4B4D-A2C9-3A392C170ACC}" name="Wed21" dataDxfId="98"/>
    <tableColumn id="29" xr3:uid="{9649BAFD-8AB8-44C4-B053-3C338CDBC742}" name="Thu22" dataDxfId="97"/>
    <tableColumn id="30" xr3:uid="{50EF9F80-CFB2-4AEC-9AC5-CE36CB293E69}" name="Fri23" dataDxfId="96"/>
    <tableColumn id="31" xr3:uid="{6D2CFC29-2FD0-4F70-8BF3-F1C0E6F6B850}" name="Sat24" dataDxfId="95"/>
    <tableColumn id="32" xr3:uid="{BFF4905E-6456-423D-8470-2C6F5C925E51}" name="Sun25" dataDxfId="94"/>
    <tableColumn id="33" xr3:uid="{0EC5BDA3-94B8-4029-B0C0-68D0FC203A3B}" name="Total Planned Leave Days" dataDxfId="93" dataCellStyle="Accent1">
      <calculatedColumnFormula>COUNTIF(B2:AF2,"P")</calculatedColumnFormula>
    </tableColumn>
    <tableColumn id="34" xr3:uid="{D3056986-91C6-43C5-94D5-41692A30800B}" name="Total Sick Leave Days" dataDxfId="92" dataCellStyle="Accent1">
      <calculatedColumnFormula>COUNTIF(B2:AF2,"S")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25A565-9EF1-4E10-A889-FE7FE344E2A3}" name="Table2" displayName="Table2" ref="A1:AG6" totalsRowShown="0" tableBorderDxfId="91">
  <autoFilter ref="A1:AG6" xr:uid="{0825A565-9EF1-4E10-A889-FE7FE344E2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xr3:uid="{1146C049-9833-47DC-8164-E00A692C0D13}" name="Hertz" dataDxfId="90" dataCellStyle="Accent1"/>
    <tableColumn id="2" xr3:uid="{CA0E3313-D589-4355-B285-29F7D0D6E00B}" name="Mon" dataDxfId="89"/>
    <tableColumn id="3" xr3:uid="{D1F5986E-14B2-448B-B25A-D067A63345E9}" name="Tue" dataDxfId="88"/>
    <tableColumn id="4" xr3:uid="{6643F0B9-EE5E-40AF-80FA-9F676A47C25B}" name="Wed" dataDxfId="87"/>
    <tableColumn id="5" xr3:uid="{251CEC97-35A4-479C-80B1-F200B879F47C}" name="Thu" dataDxfId="86"/>
    <tableColumn id="6" xr3:uid="{7AA50675-13B3-4CFA-AE25-D7D4EFA2E74B}" name="Fri" dataDxfId="85"/>
    <tableColumn id="7" xr3:uid="{D286637F-9C67-4318-BCF9-DB74AC68AD4A}" name="Sat" dataDxfId="84"/>
    <tableColumn id="8" xr3:uid="{A2239E34-9C96-446E-BC4F-5AD30DB71656}" name="Sun" dataDxfId="83"/>
    <tableColumn id="9" xr3:uid="{03910E09-F452-4EBD-B9DB-CA0D7A16F1D3}" name="Mon2" dataDxfId="82"/>
    <tableColumn id="10" xr3:uid="{F8BD96FE-79C4-4232-8F1D-0CF072CC4095}" name="Tue3" dataDxfId="81"/>
    <tableColumn id="11" xr3:uid="{644DF324-73E7-4608-843E-8204B88CD34D}" name="Wed4" dataDxfId="80"/>
    <tableColumn id="12" xr3:uid="{1CE39DD1-8925-43DC-BF9E-823AC509E93E}" name="Thu5" dataDxfId="79"/>
    <tableColumn id="13" xr3:uid="{61E2B62D-3149-49E4-89D5-A123130D5516}" name="Fri6" dataDxfId="78"/>
    <tableColumn id="14" xr3:uid="{8FE68261-E659-4D38-889B-10250278AA70}" name="Sat7" dataDxfId="77"/>
    <tableColumn id="15" xr3:uid="{17C8E161-6A98-4F9F-8090-84224EE17667}" name="Sun8" dataDxfId="76"/>
    <tableColumn id="16" xr3:uid="{F36B3CB0-93D8-405E-9797-09EFEE9CCDAE}" name="Mon9" dataDxfId="75"/>
    <tableColumn id="17" xr3:uid="{A3ABAD19-9D5E-4A61-95D0-3D9789556771}" name="Tue10" dataDxfId="74"/>
    <tableColumn id="18" xr3:uid="{EE8FD89B-4F8A-466A-8471-FEEA1FCA2805}" name="Wed11" dataDxfId="73"/>
    <tableColumn id="19" xr3:uid="{5A1E6482-DE69-47B3-9AD6-67C2543E464F}" name="Thu12" dataDxfId="72"/>
    <tableColumn id="20" xr3:uid="{7FE4CEB4-42CF-4E76-A059-DC351003E9B5}" name="Fri13" dataDxfId="71"/>
    <tableColumn id="21" xr3:uid="{F674DC68-D192-4CA7-BAC2-CC10A8CC75BC}" name="Sat14" dataDxfId="70"/>
    <tableColumn id="22" xr3:uid="{A0976E29-5954-4A67-91E5-51FF2F030A71}" name="Sun15" dataDxfId="69"/>
    <tableColumn id="23" xr3:uid="{113915D5-65BB-4C4F-9FCC-9DE8E13A38DF}" name="Mon16" dataDxfId="68"/>
    <tableColumn id="24" xr3:uid="{F21FEEA4-58A2-49CE-81EC-5E17DF0576F0}" name="Tue17" dataDxfId="67"/>
    <tableColumn id="25" xr3:uid="{AF62F541-63E0-40EA-9E47-AFDC77767BFE}" name="Wed18" dataDxfId="66"/>
    <tableColumn id="26" xr3:uid="{4CC766AB-7720-431C-81C6-CCDCD414796C}" name="Thu19" dataDxfId="65"/>
    <tableColumn id="27" xr3:uid="{5D062F8B-A7F4-44F8-94AC-4415DB04ADC1}" name="Fri20" dataDxfId="64"/>
    <tableColumn id="28" xr3:uid="{42C55A5C-94FD-4FE4-A567-D79EE481AFBD}" name="Sat21" dataDxfId="63"/>
    <tableColumn id="29" xr3:uid="{57D0146D-8790-46E2-B6E2-55ECEF2A1A6F}" name="Sun22" dataDxfId="62"/>
    <tableColumn id="30" xr3:uid="{BB18221D-1296-4240-9845-BB5A7F4E65C6}" name="Mon23" dataDxfId="61"/>
    <tableColumn id="31" xr3:uid="{75192415-4FD5-4A17-88B6-3FF4CFA9E0EE}" name="Tue24" dataDxfId="60"/>
    <tableColumn id="32" xr3:uid="{8D7F3608-9364-4EE9-B259-CC6CE1FF482B}" name="Total Planned Leave Days" dataDxfId="59" dataCellStyle="Accent1">
      <calculatedColumnFormula>(COUNTIF(B2:AC2,"P"))</calculatedColumnFormula>
    </tableColumn>
    <tableColumn id="33" xr3:uid="{C8C4F474-BA66-488B-80BA-D219CE0E96E6}" name="Total Sick Leave Days" dataDxfId="58" dataCellStyle="Accent1">
      <calculatedColumnFormula>COUNTIF(B2:AF2,"P")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W10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E17" sqref="E17"/>
    </sheetView>
  </sheetViews>
  <sheetFormatPr defaultColWidth="16.28515625" defaultRowHeight="15" x14ac:dyDescent="0.25"/>
  <cols>
    <col min="1" max="1" width="16.7109375" bestFit="1" customWidth="1"/>
    <col min="2" max="9" width="11.42578125" bestFit="1" customWidth="1"/>
    <col min="10" max="23" width="12.42578125" bestFit="1" customWidth="1"/>
    <col min="24" max="24" width="16.28515625" customWidth="1"/>
  </cols>
  <sheetData>
    <row r="1" spans="1:23" ht="18.75" customHeight="1" x14ac:dyDescent="0.25">
      <c r="A1" s="104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</row>
    <row r="2" spans="1:23" x14ac:dyDescent="0.25">
      <c r="A2" s="88" t="s">
        <v>1</v>
      </c>
      <c r="B2" s="106" t="s">
        <v>2</v>
      </c>
      <c r="C2" s="106"/>
      <c r="D2" s="107" t="s">
        <v>3</v>
      </c>
      <c r="E2" s="107"/>
      <c r="F2" s="107" t="s">
        <v>4</v>
      </c>
      <c r="G2" s="107"/>
      <c r="H2" s="107" t="s">
        <v>5</v>
      </c>
      <c r="I2" s="107"/>
      <c r="J2" s="108" t="s">
        <v>6</v>
      </c>
      <c r="K2" s="108"/>
      <c r="L2" s="108" t="s">
        <v>7</v>
      </c>
      <c r="M2" s="108"/>
      <c r="N2" s="108" t="s">
        <v>8</v>
      </c>
      <c r="O2" s="108"/>
      <c r="P2" s="109" t="s">
        <v>9</v>
      </c>
      <c r="Q2" s="109"/>
      <c r="R2" s="109" t="s">
        <v>10</v>
      </c>
      <c r="S2" s="109"/>
      <c r="T2" s="109" t="s">
        <v>11</v>
      </c>
      <c r="U2" s="109"/>
      <c r="V2" s="89" t="s">
        <v>12</v>
      </c>
      <c r="W2" s="89" t="s">
        <v>13</v>
      </c>
    </row>
    <row r="3" spans="1:23" hidden="1" x14ac:dyDescent="0.25">
      <c r="A3" s="90" t="s">
        <v>14</v>
      </c>
      <c r="B3" s="91" t="s">
        <v>15</v>
      </c>
      <c r="C3" s="92" t="s">
        <v>16</v>
      </c>
      <c r="D3" s="93" t="s">
        <v>17</v>
      </c>
      <c r="E3" s="92" t="s">
        <v>18</v>
      </c>
      <c r="F3" s="93" t="s">
        <v>19</v>
      </c>
      <c r="G3" s="92" t="s">
        <v>20</v>
      </c>
      <c r="H3" s="93" t="s">
        <v>21</v>
      </c>
      <c r="I3" s="92" t="s">
        <v>22</v>
      </c>
      <c r="J3" s="94" t="s">
        <v>23</v>
      </c>
      <c r="K3" s="92" t="s">
        <v>24</v>
      </c>
      <c r="L3" s="94" t="s">
        <v>25</v>
      </c>
      <c r="M3" s="92" t="s">
        <v>26</v>
      </c>
      <c r="N3" s="94" t="s">
        <v>27</v>
      </c>
      <c r="O3" s="92" t="s">
        <v>28</v>
      </c>
      <c r="P3" s="95" t="s">
        <v>29</v>
      </c>
      <c r="Q3" s="92" t="s">
        <v>30</v>
      </c>
      <c r="R3" s="95" t="s">
        <v>31</v>
      </c>
      <c r="S3" s="92" t="s">
        <v>32</v>
      </c>
      <c r="T3" s="95" t="s">
        <v>33</v>
      </c>
      <c r="U3" s="92" t="s">
        <v>34</v>
      </c>
      <c r="V3" s="96" t="s">
        <v>35</v>
      </c>
      <c r="W3" s="96" t="s">
        <v>36</v>
      </c>
    </row>
    <row r="4" spans="1:23" x14ac:dyDescent="0.25">
      <c r="A4" s="92"/>
      <c r="B4" s="97" t="s">
        <v>37</v>
      </c>
      <c r="C4" s="97" t="s">
        <v>38</v>
      </c>
      <c r="D4" s="97" t="s">
        <v>37</v>
      </c>
      <c r="E4" s="97" t="s">
        <v>38</v>
      </c>
      <c r="F4" s="97" t="s">
        <v>37</v>
      </c>
      <c r="G4" s="97" t="s">
        <v>38</v>
      </c>
      <c r="H4" s="97" t="s">
        <v>37</v>
      </c>
      <c r="I4" s="97" t="s">
        <v>38</v>
      </c>
      <c r="J4" s="97" t="s">
        <v>37</v>
      </c>
      <c r="K4" s="97" t="s">
        <v>38</v>
      </c>
      <c r="L4" s="97" t="s">
        <v>37</v>
      </c>
      <c r="M4" s="97" t="s">
        <v>38</v>
      </c>
      <c r="N4" s="97" t="s">
        <v>37</v>
      </c>
      <c r="O4" s="97" t="s">
        <v>38</v>
      </c>
      <c r="P4" s="97" t="s">
        <v>37</v>
      </c>
      <c r="Q4" s="97" t="s">
        <v>38</v>
      </c>
      <c r="R4" s="97" t="s">
        <v>37</v>
      </c>
      <c r="S4" s="97" t="s">
        <v>38</v>
      </c>
      <c r="T4" s="97" t="s">
        <v>37</v>
      </c>
      <c r="U4" s="97" t="s">
        <v>38</v>
      </c>
      <c r="V4" s="92"/>
      <c r="W4" s="92"/>
    </row>
    <row r="5" spans="1:23" x14ac:dyDescent="0.25">
      <c r="A5" s="102" t="s">
        <v>179</v>
      </c>
      <c r="B5" s="98">
        <f>'Mar-2026'!AG6</f>
        <v>1</v>
      </c>
      <c r="C5" s="98">
        <f>'Mar-2026'!AH6</f>
        <v>0</v>
      </c>
      <c r="D5" s="98">
        <f>'April-2026'!AG5</f>
        <v>2</v>
      </c>
      <c r="E5" s="98">
        <f>'April-2026'!AH5</f>
        <v>0</v>
      </c>
      <c r="F5" s="98">
        <f>'May-2026'!AG3</f>
        <v>0</v>
      </c>
      <c r="G5" s="98">
        <f>'May-2026'!AH3</f>
        <v>0</v>
      </c>
      <c r="H5" s="98">
        <f>'June-2026'!AG3</f>
        <v>0</v>
      </c>
      <c r="I5" s="98">
        <f>'June-2026'!AH3</f>
        <v>0</v>
      </c>
      <c r="J5" s="98">
        <f>'July-2026'!AF6</f>
        <v>0</v>
      </c>
      <c r="K5" s="98">
        <f>'July-2026'!AG6</f>
        <v>0</v>
      </c>
      <c r="L5" s="98">
        <f>'Aug-2026'!AG6</f>
        <v>2</v>
      </c>
      <c r="M5" s="98">
        <f>'Aug-2026'!AH6</f>
        <v>1</v>
      </c>
      <c r="N5" s="98">
        <f>'Sep-2026'!AG6</f>
        <v>0</v>
      </c>
      <c r="O5" s="98">
        <f>'Sep-2026'!AH6</f>
        <v>0</v>
      </c>
      <c r="P5" s="98">
        <f>'Oct-2026'!AG6</f>
        <v>3</v>
      </c>
      <c r="Q5" s="98">
        <f>'Oct-2026'!AH6</f>
        <v>0</v>
      </c>
      <c r="R5" s="98">
        <f>'Nov-2026'!AG6</f>
        <v>7</v>
      </c>
      <c r="S5" s="98">
        <f>'Nov-2026'!AH6</f>
        <v>0</v>
      </c>
      <c r="T5" s="98">
        <f>'Dec-2026'!AG6</f>
        <v>0</v>
      </c>
      <c r="U5" s="98">
        <f>'Dec-2026'!AH6</f>
        <v>0</v>
      </c>
      <c r="V5" s="99">
        <f t="shared" ref="V5:W9" si="0">SUM(B5,D5,F5,H5,J5,L5,N5,P5,R5,T5)</f>
        <v>15</v>
      </c>
      <c r="W5" s="99">
        <f t="shared" si="0"/>
        <v>1</v>
      </c>
    </row>
    <row r="6" spans="1:23" x14ac:dyDescent="0.25">
      <c r="A6" s="102" t="s">
        <v>40</v>
      </c>
      <c r="B6" s="98">
        <f>'Mar-2026'!AG7</f>
        <v>0</v>
      </c>
      <c r="C6" s="98">
        <f>'Mar-2026'!AH7</f>
        <v>0</v>
      </c>
      <c r="D6" s="98">
        <f>'April-2026'!AG6</f>
        <v>0</v>
      </c>
      <c r="E6" s="98">
        <f>'April-2026'!AH6</f>
        <v>0</v>
      </c>
      <c r="F6" s="98">
        <f>'May-2026'!AG4</f>
        <v>0</v>
      </c>
      <c r="G6" s="98">
        <f>'May-2026'!AH4</f>
        <v>0</v>
      </c>
      <c r="H6" s="98">
        <f>'June-2026'!AG4</f>
        <v>0</v>
      </c>
      <c r="I6" s="98">
        <f>'June-2026'!AH4</f>
        <v>0</v>
      </c>
      <c r="J6" s="98">
        <f>'July-2026'!AF7</f>
        <v>0</v>
      </c>
      <c r="K6" s="98">
        <f>'July-2026'!AG7</f>
        <v>0</v>
      </c>
      <c r="L6" s="98">
        <f>'Aug-2026'!AG7</f>
        <v>3</v>
      </c>
      <c r="M6" s="98">
        <f>'Aug-2026'!AH7</f>
        <v>0</v>
      </c>
      <c r="N6" s="98">
        <f>'Sep-2026'!AG7</f>
        <v>0</v>
      </c>
      <c r="O6" s="98">
        <f>'Sep-2026'!AH7</f>
        <v>0</v>
      </c>
      <c r="P6" s="98">
        <f>'Oct-2026'!AG7</f>
        <v>3</v>
      </c>
      <c r="Q6" s="98">
        <f>'Oct-2026'!AH7</f>
        <v>0</v>
      </c>
      <c r="R6" s="98">
        <f>'Nov-2026'!AG7</f>
        <v>0</v>
      </c>
      <c r="S6" s="98">
        <f>'Nov-2026'!AH7</f>
        <v>0</v>
      </c>
      <c r="T6" s="98">
        <f>'Dec-2026'!AG7</f>
        <v>3</v>
      </c>
      <c r="U6" s="98">
        <f>'Dec-2026'!AH7</f>
        <v>0</v>
      </c>
      <c r="V6" s="99">
        <f t="shared" si="0"/>
        <v>9</v>
      </c>
      <c r="W6" s="99">
        <f t="shared" si="0"/>
        <v>0</v>
      </c>
    </row>
    <row r="7" spans="1:23" x14ac:dyDescent="0.25">
      <c r="A7" s="102" t="s">
        <v>41</v>
      </c>
      <c r="B7" s="98">
        <f>'Mar-2026'!AG8</f>
        <v>0</v>
      </c>
      <c r="C7" s="98">
        <f>'Mar-2026'!AH8</f>
        <v>2</v>
      </c>
      <c r="D7" s="98">
        <f>'April-2026'!AG7</f>
        <v>0</v>
      </c>
      <c r="E7" s="98">
        <f>'April-2026'!AH7</f>
        <v>0</v>
      </c>
      <c r="F7" s="98">
        <f>'May-2026'!AG5</f>
        <v>0</v>
      </c>
      <c r="G7" s="98">
        <f>'May-2026'!AH5</f>
        <v>0</v>
      </c>
      <c r="H7" s="98">
        <f>'June-2026'!AG5</f>
        <v>0</v>
      </c>
      <c r="I7" s="98">
        <f>'June-2026'!AH5</f>
        <v>0</v>
      </c>
      <c r="J7" s="98">
        <f>'July-2026'!AF8</f>
        <v>0</v>
      </c>
      <c r="K7" s="98">
        <f>'July-2026'!AG8</f>
        <v>0</v>
      </c>
      <c r="L7" s="98">
        <f>'Aug-2026'!AG8</f>
        <v>2</v>
      </c>
      <c r="M7" s="98">
        <f>'Aug-2026'!AH8</f>
        <v>1</v>
      </c>
      <c r="N7" s="98">
        <f>'Sep-2026'!AG8</f>
        <v>0</v>
      </c>
      <c r="O7" s="98">
        <f>'Sep-2026'!AH8</f>
        <v>0</v>
      </c>
      <c r="P7" s="98">
        <f>'Oct-2026'!AG8</f>
        <v>2</v>
      </c>
      <c r="Q7" s="98">
        <f>'Oct-2026'!AH8</f>
        <v>0</v>
      </c>
      <c r="R7" s="98">
        <f>'Nov-2026'!AG8</f>
        <v>0</v>
      </c>
      <c r="S7" s="98">
        <f>'Nov-2026'!AH8</f>
        <v>0</v>
      </c>
      <c r="T7" s="98">
        <f>'Dec-2026'!AG8</f>
        <v>6</v>
      </c>
      <c r="U7" s="98">
        <f>'Dec-2026'!AH8</f>
        <v>0</v>
      </c>
      <c r="V7" s="99">
        <f t="shared" si="0"/>
        <v>10</v>
      </c>
      <c r="W7" s="99">
        <f t="shared" si="0"/>
        <v>3</v>
      </c>
    </row>
    <row r="8" spans="1:23" x14ac:dyDescent="0.25">
      <c r="A8" s="102" t="s">
        <v>42</v>
      </c>
      <c r="B8" s="98">
        <f>'Mar-2026'!AG9</f>
        <v>0</v>
      </c>
      <c r="C8" s="98">
        <f>'Mar-2026'!AH9</f>
        <v>0</v>
      </c>
      <c r="D8" s="98">
        <f>'April-2026'!AG8</f>
        <v>0</v>
      </c>
      <c r="E8" s="98">
        <f>'April-2026'!AH8</f>
        <v>0</v>
      </c>
      <c r="F8" s="98">
        <f>'May-2026'!AG6</f>
        <v>0</v>
      </c>
      <c r="G8" s="98">
        <f>'May-2026'!AH6</f>
        <v>0</v>
      </c>
      <c r="H8" s="98">
        <f>'June-2026'!AG6</f>
        <v>0</v>
      </c>
      <c r="I8" s="98">
        <f>'June-2026'!AH6</f>
        <v>0</v>
      </c>
      <c r="J8" s="98">
        <f>'July-2026'!AF9</f>
        <v>0</v>
      </c>
      <c r="K8" s="98">
        <f>'July-2026'!AG9</f>
        <v>0</v>
      </c>
      <c r="L8" s="98">
        <f>'Aug-2026'!AG9</f>
        <v>1</v>
      </c>
      <c r="M8" s="98">
        <f>'Aug-2026'!AH9</f>
        <v>0</v>
      </c>
      <c r="N8" s="98">
        <f>'Sep-2026'!AG9</f>
        <v>0</v>
      </c>
      <c r="O8" s="98">
        <f>'Sep-2026'!AH9</f>
        <v>0</v>
      </c>
      <c r="P8" s="98">
        <f>'Oct-2026'!AG9</f>
        <v>1</v>
      </c>
      <c r="Q8" s="98">
        <f>'Oct-2026'!AH9</f>
        <v>0</v>
      </c>
      <c r="R8" s="98">
        <f>'Nov-2026'!AG9</f>
        <v>0</v>
      </c>
      <c r="S8" s="98">
        <f>'Nov-2026'!AH9</f>
        <v>0</v>
      </c>
      <c r="T8" s="98">
        <f>'Dec-2026'!AG9</f>
        <v>0</v>
      </c>
      <c r="U8" s="98">
        <f>'Dec-2026'!AH9</f>
        <v>0</v>
      </c>
      <c r="V8" s="99">
        <f t="shared" si="0"/>
        <v>2</v>
      </c>
      <c r="W8" s="99">
        <f t="shared" si="0"/>
        <v>0</v>
      </c>
    </row>
    <row r="9" spans="1:23" x14ac:dyDescent="0.25">
      <c r="A9" s="100" t="s">
        <v>43</v>
      </c>
      <c r="B9" s="100">
        <f t="shared" ref="B9:U9" si="1">SUM(B5:B8)</f>
        <v>1</v>
      </c>
      <c r="C9" s="100">
        <f t="shared" si="1"/>
        <v>2</v>
      </c>
      <c r="D9" s="100">
        <f t="shared" si="1"/>
        <v>2</v>
      </c>
      <c r="E9" s="100">
        <f t="shared" si="1"/>
        <v>0</v>
      </c>
      <c r="F9" s="100">
        <f t="shared" si="1"/>
        <v>0</v>
      </c>
      <c r="G9" s="100">
        <f t="shared" si="1"/>
        <v>0</v>
      </c>
      <c r="H9" s="100">
        <f t="shared" si="1"/>
        <v>0</v>
      </c>
      <c r="I9" s="100">
        <f t="shared" si="1"/>
        <v>0</v>
      </c>
      <c r="J9" s="100">
        <f t="shared" si="1"/>
        <v>0</v>
      </c>
      <c r="K9" s="100">
        <f t="shared" si="1"/>
        <v>0</v>
      </c>
      <c r="L9" s="100">
        <f t="shared" si="1"/>
        <v>8</v>
      </c>
      <c r="M9" s="100">
        <f t="shared" si="1"/>
        <v>2</v>
      </c>
      <c r="N9" s="100">
        <f t="shared" si="1"/>
        <v>0</v>
      </c>
      <c r="O9" s="100">
        <f t="shared" si="1"/>
        <v>0</v>
      </c>
      <c r="P9" s="100">
        <f t="shared" si="1"/>
        <v>9</v>
      </c>
      <c r="Q9" s="100">
        <f t="shared" si="1"/>
        <v>0</v>
      </c>
      <c r="R9" s="100">
        <f t="shared" si="1"/>
        <v>7</v>
      </c>
      <c r="S9" s="100">
        <f t="shared" si="1"/>
        <v>0</v>
      </c>
      <c r="T9" s="100">
        <f t="shared" si="1"/>
        <v>9</v>
      </c>
      <c r="U9" s="100">
        <f t="shared" si="1"/>
        <v>0</v>
      </c>
      <c r="V9" s="101">
        <f t="shared" si="0"/>
        <v>36</v>
      </c>
      <c r="W9" s="101">
        <f t="shared" si="0"/>
        <v>4</v>
      </c>
    </row>
    <row r="10" spans="1:23" x14ac:dyDescent="0.25">
      <c r="A10" s="103" t="s">
        <v>44</v>
      </c>
      <c r="B10" s="110">
        <f>SUM(B9:C9)</f>
        <v>3</v>
      </c>
      <c r="C10" s="111"/>
      <c r="D10" s="110">
        <f t="shared" ref="D10" si="2">SUM(D9:E9)</f>
        <v>2</v>
      </c>
      <c r="E10" s="111"/>
      <c r="F10" s="110">
        <f t="shared" ref="F10" si="3">SUM(F9:G9)</f>
        <v>0</v>
      </c>
      <c r="G10" s="111"/>
      <c r="H10" s="110">
        <f t="shared" ref="H10" si="4">SUM(H9:I9)</f>
        <v>0</v>
      </c>
      <c r="I10" s="111"/>
      <c r="J10" s="110">
        <f t="shared" ref="J10" si="5">SUM(J9:K9)</f>
        <v>0</v>
      </c>
      <c r="K10" s="111"/>
      <c r="L10" s="110">
        <f t="shared" ref="L10" si="6">SUM(L9:M9)</f>
        <v>10</v>
      </c>
      <c r="M10" s="111"/>
      <c r="N10" s="110">
        <f t="shared" ref="N10" si="7">SUM(N9:O9)</f>
        <v>0</v>
      </c>
      <c r="O10" s="111"/>
      <c r="P10" s="110">
        <f t="shared" ref="P10" si="8">SUM(P9:Q9)</f>
        <v>9</v>
      </c>
      <c r="Q10" s="111"/>
      <c r="R10" s="110">
        <f t="shared" ref="R10" si="9">SUM(R9:S9)</f>
        <v>7</v>
      </c>
      <c r="S10" s="111"/>
      <c r="T10" s="110">
        <f t="shared" ref="T10" si="10">SUM(T9:U9)</f>
        <v>9</v>
      </c>
      <c r="U10" s="111"/>
      <c r="V10" s="103"/>
      <c r="W10" s="103"/>
    </row>
  </sheetData>
  <mergeCells count="21"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  <mergeCell ref="A1:V1"/>
    <mergeCell ref="B2:C2"/>
    <mergeCell ref="D2:E2"/>
    <mergeCell ref="F2:G2"/>
    <mergeCell ref="H2:I2"/>
    <mergeCell ref="J2:K2"/>
    <mergeCell ref="T2:U2"/>
    <mergeCell ref="R2:S2"/>
    <mergeCell ref="P2:Q2"/>
    <mergeCell ref="N2:O2"/>
    <mergeCell ref="L2:M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Z123"/>
  <sheetViews>
    <sheetView topLeftCell="A3" workbookViewId="0">
      <selection activeCell="A6" sqref="A6"/>
    </sheetView>
  </sheetViews>
  <sheetFormatPr defaultColWidth="8.85546875" defaultRowHeight="15.75" x14ac:dyDescent="0.25"/>
  <cols>
    <col min="1" max="1" width="16.5703125" style="1" bestFit="1" customWidth="1"/>
    <col min="2" max="2" width="6.85546875" style="1" customWidth="1"/>
    <col min="3" max="3" width="7.7109375" style="1" customWidth="1"/>
    <col min="4" max="4" width="6.7109375" style="1" customWidth="1"/>
    <col min="5" max="5" width="7.7109375" style="1" customWidth="1"/>
    <col min="6" max="6" width="6.85546875" style="1" customWidth="1"/>
    <col min="7" max="7" width="5.5703125" style="1" customWidth="1"/>
    <col min="8" max="8" width="6.28515625" style="1" customWidth="1"/>
    <col min="9" max="9" width="8" style="1" customWidth="1"/>
    <col min="10" max="10" width="8.85546875" style="1" customWidth="1"/>
    <col min="11" max="11" width="7.85546875" style="1" customWidth="1"/>
    <col min="12" max="12" width="8.85546875" style="1" customWidth="1"/>
    <col min="13" max="13" width="8" style="1" customWidth="1"/>
    <col min="14" max="14" width="6.7109375" style="1" customWidth="1"/>
    <col min="15" max="15" width="7.42578125" style="1" customWidth="1"/>
    <col min="16" max="16" width="8" style="1" customWidth="1"/>
    <col min="17" max="17" width="10" style="1" customWidth="1"/>
    <col min="18" max="18" width="9" style="1" customWidth="1"/>
    <col min="19" max="19" width="10" style="1" customWidth="1"/>
    <col min="20" max="20" width="9.140625" style="1" customWidth="1"/>
    <col min="21" max="21" width="7.85546875" style="1" customWidth="1"/>
    <col min="22" max="22" width="8.5703125" style="1" customWidth="1"/>
    <col min="23" max="23" width="9.140625" style="1" customWidth="1"/>
    <col min="24" max="24" width="10" style="1" customWidth="1"/>
    <col min="25" max="25" width="9" style="1" customWidth="1"/>
    <col min="26" max="26" width="10" style="1" customWidth="1"/>
    <col min="27" max="27" width="9.140625" style="1" customWidth="1"/>
    <col min="28" max="28" width="7.85546875" style="1" customWidth="1"/>
    <col min="29" max="29" width="8.5703125" style="1" customWidth="1"/>
    <col min="30" max="30" width="9.140625" style="1" customWidth="1"/>
    <col min="31" max="31" width="10" style="1" customWidth="1"/>
    <col min="32" max="32" width="9" style="1" customWidth="1"/>
    <col min="33" max="33" width="28" style="1" customWidth="1"/>
    <col min="34" max="34" width="23.85546875" style="1" customWidth="1"/>
    <col min="35" max="35" width="14" style="2" customWidth="1"/>
    <col min="36" max="37" width="8.85546875" style="1" customWidth="1"/>
    <col min="38" max="16384" width="8.85546875" style="1"/>
  </cols>
  <sheetData>
    <row r="1" spans="1:52" hidden="1" x14ac:dyDescent="0.25">
      <c r="A1" s="112" t="s">
        <v>45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4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idden="1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7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5">
      <c r="A3" s="6" t="s">
        <v>46</v>
      </c>
      <c r="B3" s="84" t="s">
        <v>47</v>
      </c>
      <c r="C3" s="85" t="s">
        <v>48</v>
      </c>
      <c r="D3" s="85" t="s">
        <v>49</v>
      </c>
      <c r="E3" s="85" t="s">
        <v>50</v>
      </c>
      <c r="F3" s="85" t="s">
        <v>51</v>
      </c>
      <c r="G3" s="85" t="s">
        <v>52</v>
      </c>
      <c r="H3" s="84" t="s">
        <v>53</v>
      </c>
      <c r="I3" s="84" t="s">
        <v>47</v>
      </c>
      <c r="J3" s="85" t="s">
        <v>48</v>
      </c>
      <c r="K3" s="85" t="s">
        <v>49</v>
      </c>
      <c r="L3" s="85" t="s">
        <v>50</v>
      </c>
      <c r="M3" s="85" t="s">
        <v>51</v>
      </c>
      <c r="N3" s="85" t="s">
        <v>52</v>
      </c>
      <c r="O3" s="84" t="s">
        <v>53</v>
      </c>
      <c r="P3" s="84" t="s">
        <v>47</v>
      </c>
      <c r="Q3" s="85" t="s">
        <v>48</v>
      </c>
      <c r="R3" s="85" t="s">
        <v>49</v>
      </c>
      <c r="S3" s="85" t="s">
        <v>50</v>
      </c>
      <c r="T3" s="85" t="s">
        <v>51</v>
      </c>
      <c r="U3" s="85" t="s">
        <v>52</v>
      </c>
      <c r="V3" s="84" t="s">
        <v>53</v>
      </c>
      <c r="W3" s="84" t="s">
        <v>47</v>
      </c>
      <c r="X3" s="85" t="s">
        <v>48</v>
      </c>
      <c r="Y3" s="85" t="s">
        <v>49</v>
      </c>
      <c r="Z3" s="85" t="s">
        <v>50</v>
      </c>
      <c r="AA3" s="85" t="s">
        <v>51</v>
      </c>
      <c r="AB3" s="85" t="s">
        <v>52</v>
      </c>
      <c r="AC3" s="84" t="s">
        <v>53</v>
      </c>
      <c r="AD3" s="84" t="s">
        <v>47</v>
      </c>
      <c r="AE3" s="85" t="s">
        <v>48</v>
      </c>
      <c r="AF3" s="85" t="s">
        <v>49</v>
      </c>
      <c r="AG3" s="86" t="s">
        <v>54</v>
      </c>
      <c r="AH3" s="87" t="s">
        <v>55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idden="1" x14ac:dyDescent="0.25">
      <c r="A4" s="72" t="s">
        <v>46</v>
      </c>
      <c r="B4" s="69" t="s">
        <v>53</v>
      </c>
      <c r="C4" s="83" t="s">
        <v>48</v>
      </c>
      <c r="D4" s="83" t="s">
        <v>49</v>
      </c>
      <c r="E4" s="83" t="s">
        <v>50</v>
      </c>
      <c r="F4" s="83" t="s">
        <v>51</v>
      </c>
      <c r="G4" s="83" t="s">
        <v>52</v>
      </c>
      <c r="H4" s="69" t="s">
        <v>56</v>
      </c>
      <c r="I4" s="69" t="s">
        <v>57</v>
      </c>
      <c r="J4" s="83" t="s">
        <v>58</v>
      </c>
      <c r="K4" s="83" t="s">
        <v>59</v>
      </c>
      <c r="L4" s="83" t="s">
        <v>60</v>
      </c>
      <c r="M4" s="83" t="s">
        <v>61</v>
      </c>
      <c r="N4" s="83" t="s">
        <v>62</v>
      </c>
      <c r="O4" s="69" t="s">
        <v>63</v>
      </c>
      <c r="P4" s="69" t="s">
        <v>64</v>
      </c>
      <c r="Q4" s="83" t="s">
        <v>65</v>
      </c>
      <c r="R4" s="83" t="s">
        <v>66</v>
      </c>
      <c r="S4" s="83" t="s">
        <v>67</v>
      </c>
      <c r="T4" s="73" t="s">
        <v>68</v>
      </c>
      <c r="U4" s="78" t="s">
        <v>69</v>
      </c>
      <c r="V4" s="69" t="s">
        <v>70</v>
      </c>
      <c r="W4" s="69" t="s">
        <v>71</v>
      </c>
      <c r="X4" s="78" t="s">
        <v>72</v>
      </c>
      <c r="Y4" s="78" t="s">
        <v>73</v>
      </c>
      <c r="Z4" s="78" t="s">
        <v>74</v>
      </c>
      <c r="AA4" s="78" t="s">
        <v>75</v>
      </c>
      <c r="AB4" s="78" t="s">
        <v>76</v>
      </c>
      <c r="AC4" s="69" t="s">
        <v>77</v>
      </c>
      <c r="AD4" s="69" t="s">
        <v>78</v>
      </c>
      <c r="AE4" s="78" t="s">
        <v>79</v>
      </c>
      <c r="AF4" s="78" t="s">
        <v>80</v>
      </c>
      <c r="AG4" s="79" t="s">
        <v>54</v>
      </c>
      <c r="AH4" s="80" t="s">
        <v>55</v>
      </c>
      <c r="AI4" s="16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5">
      <c r="A5" s="54"/>
      <c r="B5" s="48">
        <v>1</v>
      </c>
      <c r="C5" s="46">
        <v>2</v>
      </c>
      <c r="D5" s="46">
        <v>3</v>
      </c>
      <c r="E5" s="46">
        <v>4</v>
      </c>
      <c r="F5" s="46">
        <v>5</v>
      </c>
      <c r="G5" s="46">
        <v>6</v>
      </c>
      <c r="H5" s="48">
        <v>7</v>
      </c>
      <c r="I5" s="48">
        <v>8</v>
      </c>
      <c r="J5" s="46">
        <v>9</v>
      </c>
      <c r="K5" s="46">
        <v>10</v>
      </c>
      <c r="L5" s="46">
        <v>11</v>
      </c>
      <c r="M5" s="46">
        <v>12</v>
      </c>
      <c r="N5" s="46">
        <v>13</v>
      </c>
      <c r="O5" s="48">
        <v>14</v>
      </c>
      <c r="P5" s="48">
        <v>15</v>
      </c>
      <c r="Q5" s="46">
        <v>16</v>
      </c>
      <c r="R5" s="46">
        <v>17</v>
      </c>
      <c r="S5" s="46">
        <v>18</v>
      </c>
      <c r="T5" s="50">
        <v>19</v>
      </c>
      <c r="U5" s="46">
        <v>20</v>
      </c>
      <c r="V5" s="48">
        <v>21</v>
      </c>
      <c r="W5" s="48">
        <v>22</v>
      </c>
      <c r="X5" s="46">
        <v>23</v>
      </c>
      <c r="Y5" s="46">
        <v>24</v>
      </c>
      <c r="Z5" s="46">
        <v>25</v>
      </c>
      <c r="AA5" s="46">
        <v>26</v>
      </c>
      <c r="AB5" s="46">
        <v>27</v>
      </c>
      <c r="AC5" s="48">
        <v>28</v>
      </c>
      <c r="AD5" s="48">
        <v>29</v>
      </c>
      <c r="AE5" s="46">
        <v>30</v>
      </c>
      <c r="AF5" s="46">
        <v>31</v>
      </c>
      <c r="AG5" s="55"/>
      <c r="AH5" s="77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5">
      <c r="A6" s="57" t="s">
        <v>179</v>
      </c>
      <c r="B6" s="31"/>
      <c r="C6" s="32"/>
      <c r="D6" s="32"/>
      <c r="E6" s="32"/>
      <c r="F6" s="32"/>
      <c r="G6" s="32"/>
      <c r="H6" s="31"/>
      <c r="I6" s="31"/>
      <c r="J6" s="32"/>
      <c r="K6" s="32"/>
      <c r="L6" s="32"/>
      <c r="M6" s="32"/>
      <c r="N6" s="32"/>
      <c r="O6" s="31"/>
      <c r="P6" s="33"/>
      <c r="Q6" s="34"/>
      <c r="R6" s="35"/>
      <c r="S6" s="35"/>
      <c r="T6" s="35" t="s">
        <v>81</v>
      </c>
      <c r="U6" s="35" t="s">
        <v>82</v>
      </c>
      <c r="V6" s="36"/>
      <c r="W6" s="33"/>
      <c r="X6" s="34"/>
      <c r="Y6" s="35"/>
      <c r="Z6" s="35"/>
      <c r="AA6" s="35"/>
      <c r="AB6" s="35"/>
      <c r="AC6" s="36"/>
      <c r="AD6" s="33"/>
      <c r="AE6" s="34"/>
      <c r="AF6" s="35"/>
      <c r="AG6" s="13">
        <f>COUNTIF(B6:AF6,"P")</f>
        <v>1</v>
      </c>
      <c r="AH6" s="59">
        <f>COUNTIF(B6:AF6,"S")</f>
        <v>0</v>
      </c>
      <c r="AI6" s="4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5">
      <c r="A7" s="57" t="s">
        <v>40</v>
      </c>
      <c r="B7" s="31"/>
      <c r="C7" s="32"/>
      <c r="D7" s="32"/>
      <c r="E7" s="32"/>
      <c r="F7" s="32"/>
      <c r="G7" s="32"/>
      <c r="H7" s="31"/>
      <c r="I7" s="31"/>
      <c r="J7" s="32"/>
      <c r="K7" s="32"/>
      <c r="L7" s="32"/>
      <c r="M7" s="32"/>
      <c r="N7" s="32"/>
      <c r="O7" s="31"/>
      <c r="P7" s="33"/>
      <c r="Q7" s="34"/>
      <c r="R7" s="35"/>
      <c r="S7" s="35"/>
      <c r="T7" s="35" t="s">
        <v>81</v>
      </c>
      <c r="U7" s="35"/>
      <c r="V7" s="36"/>
      <c r="W7" s="33"/>
      <c r="X7" s="34"/>
      <c r="Y7" s="35"/>
      <c r="Z7" s="35"/>
      <c r="AA7" s="35"/>
      <c r="AB7" s="35"/>
      <c r="AC7" s="36"/>
      <c r="AD7" s="33"/>
      <c r="AE7" s="34"/>
      <c r="AF7" s="35"/>
      <c r="AG7" s="13">
        <f>COUNTIF(B7:AF7,"P")</f>
        <v>0</v>
      </c>
      <c r="AH7" s="59">
        <f>COUNTIF(B7:AF7,"S")</f>
        <v>0</v>
      </c>
      <c r="AI7" s="4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5">
      <c r="A8" s="57" t="s">
        <v>41</v>
      </c>
      <c r="B8" s="31"/>
      <c r="C8" s="32"/>
      <c r="D8" s="32"/>
      <c r="E8" s="32"/>
      <c r="F8" s="32" t="s">
        <v>83</v>
      </c>
      <c r="G8" s="32" t="s">
        <v>83</v>
      </c>
      <c r="H8" s="31"/>
      <c r="I8" s="31"/>
      <c r="J8" s="32"/>
      <c r="K8" s="32"/>
      <c r="L8" s="32"/>
      <c r="M8" s="32"/>
      <c r="N8" s="32"/>
      <c r="O8" s="31"/>
      <c r="P8" s="33"/>
      <c r="Q8" s="34"/>
      <c r="R8" s="35"/>
      <c r="S8" s="35"/>
      <c r="T8" s="35" t="s">
        <v>81</v>
      </c>
      <c r="U8" s="35"/>
      <c r="V8" s="36"/>
      <c r="W8" s="33"/>
      <c r="X8" s="34"/>
      <c r="Y8" s="35"/>
      <c r="Z8" s="35"/>
      <c r="AA8" s="35"/>
      <c r="AB8" s="35"/>
      <c r="AC8" s="36"/>
      <c r="AD8" s="33"/>
      <c r="AE8" s="34"/>
      <c r="AF8" s="35"/>
      <c r="AG8" s="13">
        <f>COUNTIF(B8:AF8,"P")</f>
        <v>0</v>
      </c>
      <c r="AH8" s="59">
        <f>COUNTIF(B8:AF8,"S")</f>
        <v>2</v>
      </c>
      <c r="AI8" s="4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5">
      <c r="A9" s="60" t="s">
        <v>42</v>
      </c>
      <c r="B9" s="62"/>
      <c r="C9" s="61"/>
      <c r="D9" s="61"/>
      <c r="E9" s="61"/>
      <c r="F9" s="61"/>
      <c r="G9" s="61"/>
      <c r="H9" s="62"/>
      <c r="I9" s="62"/>
      <c r="J9" s="61"/>
      <c r="K9" s="61"/>
      <c r="L9" s="61"/>
      <c r="M9" s="61"/>
      <c r="N9" s="61"/>
      <c r="O9" s="62"/>
      <c r="P9" s="63"/>
      <c r="Q9" s="64"/>
      <c r="R9" s="81"/>
      <c r="S9" s="81"/>
      <c r="T9" s="81" t="s">
        <v>81</v>
      </c>
      <c r="U9" s="81"/>
      <c r="V9" s="82"/>
      <c r="W9" s="63"/>
      <c r="X9" s="64"/>
      <c r="Y9" s="81"/>
      <c r="Z9" s="81"/>
      <c r="AA9" s="81"/>
      <c r="AB9" s="81"/>
      <c r="AC9" s="82"/>
      <c r="AD9" s="63"/>
      <c r="AE9" s="64"/>
      <c r="AF9" s="81"/>
      <c r="AG9" s="65">
        <f>COUNTIF(B9:AF9,"P")</f>
        <v>0</v>
      </c>
      <c r="AH9" s="66">
        <f>COUNTIF(B9:AF9,"S")</f>
        <v>0</v>
      </c>
      <c r="AI9" s="4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5">
      <c r="A11" s="118" t="s">
        <v>84</v>
      </c>
      <c r="B11" s="118" t="s">
        <v>85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5">
      <c r="A12" s="119"/>
      <c r="B12" s="11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5">
      <c r="A13" s="120"/>
      <c r="B13" s="12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5">
      <c r="A14" s="7" t="s">
        <v>86</v>
      </c>
      <c r="B14" s="8" t="s">
        <v>82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5">
      <c r="A15" s="9" t="s">
        <v>87</v>
      </c>
      <c r="B15" s="8" t="s">
        <v>83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5">
      <c r="A16" s="14" t="s">
        <v>88</v>
      </c>
      <c r="B16" s="8" t="s">
        <v>81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</sheetData>
  <mergeCells count="3">
    <mergeCell ref="A1:AH2"/>
    <mergeCell ref="A11:A13"/>
    <mergeCell ref="B11:B13"/>
  </mergeCells>
  <conditionalFormatting sqref="B6:AF9">
    <cfRule type="cellIs" dxfId="57" priority="1" operator="equal">
      <formula>"S"</formula>
    </cfRule>
    <cfRule type="cellIs" dxfId="56" priority="2" operator="equal">
      <formula>"P"</formula>
    </cfRule>
    <cfRule type="cellIs" dxfId="55" priority="3" operator="equal">
      <formula>"H"</formula>
    </cfRule>
    <cfRule type="cellIs" dxfId="54" priority="4" operator="equal">
      <formula>"H"</formula>
    </cfRule>
  </conditionalFormatting>
  <dataValidations count="1">
    <dataValidation type="list" allowBlank="1" showInputMessage="1" showErrorMessage="1" sqref="B6:AF9" xr:uid="{00000000-0002-0000-0100-000000000000}">
      <formula1>$B$14:$B$16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Y122"/>
  <sheetViews>
    <sheetView topLeftCell="A3" workbookViewId="0">
      <selection activeCell="E16" sqref="E16"/>
    </sheetView>
  </sheetViews>
  <sheetFormatPr defaultRowHeight="15" x14ac:dyDescent="0.25"/>
  <cols>
    <col min="1" max="1" width="16.5703125" bestFit="1" customWidth="1"/>
    <col min="2" max="2" width="7.7109375" customWidth="1"/>
    <col min="3" max="3" width="6.85546875" customWidth="1"/>
    <col min="4" max="4" width="5.5703125" customWidth="1"/>
    <col min="5" max="5" width="6.28515625" customWidth="1"/>
    <col min="6" max="6" width="6.85546875" customWidth="1"/>
    <col min="7" max="7" width="7.7109375" customWidth="1"/>
    <col min="8" max="8" width="6.7109375" customWidth="1"/>
    <col min="9" max="9" width="8.85546875" customWidth="1"/>
    <col min="10" max="10" width="8" customWidth="1"/>
    <col min="11" max="11" width="6.7109375" customWidth="1"/>
    <col min="12" max="12" width="7.42578125" customWidth="1"/>
    <col min="13" max="13" width="8" customWidth="1"/>
    <col min="14" max="14" width="8.85546875" customWidth="1"/>
    <col min="15" max="15" width="7.85546875" customWidth="1"/>
    <col min="16" max="16" width="8.85546875" customWidth="1"/>
    <col min="17" max="17" width="9.140625" customWidth="1"/>
    <col min="18" max="18" width="7.85546875" customWidth="1"/>
    <col min="19" max="19" width="8.5703125" customWidth="1"/>
    <col min="20" max="20" width="9.140625" customWidth="1"/>
    <col min="21" max="21" width="10" customWidth="1"/>
    <col min="22" max="22" width="9" customWidth="1"/>
    <col min="23" max="23" width="10" customWidth="1"/>
    <col min="24" max="24" width="9.140625" customWidth="1"/>
    <col min="25" max="25" width="7.85546875" customWidth="1"/>
    <col min="26" max="26" width="8.5703125" customWidth="1"/>
    <col min="27" max="27" width="9.140625" customWidth="1"/>
    <col min="28" max="28" width="10" customWidth="1"/>
    <col min="29" max="29" width="9" customWidth="1"/>
    <col min="30" max="30" width="10" customWidth="1"/>
    <col min="31" max="31" width="9.140625" customWidth="1"/>
    <col min="32" max="32" width="28" customWidth="1"/>
    <col min="33" max="33" width="23.85546875" customWidth="1"/>
    <col min="34" max="34" width="2.140625" bestFit="1" customWidth="1"/>
  </cols>
  <sheetData>
    <row r="1" spans="1:51" ht="15.75" customHeight="1" x14ac:dyDescent="0.25">
      <c r="A1" s="112" t="s">
        <v>89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4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15.75" customHeight="1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7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15.75" customHeight="1" x14ac:dyDescent="0.25">
      <c r="A3" s="72" t="s">
        <v>46</v>
      </c>
      <c r="B3" s="78" t="s">
        <v>50</v>
      </c>
      <c r="C3" s="78" t="s">
        <v>51</v>
      </c>
      <c r="D3" s="73" t="s">
        <v>52</v>
      </c>
      <c r="E3" s="69" t="s">
        <v>53</v>
      </c>
      <c r="F3" s="69" t="s">
        <v>47</v>
      </c>
      <c r="G3" s="78" t="s">
        <v>48</v>
      </c>
      <c r="H3" s="78" t="s">
        <v>49</v>
      </c>
      <c r="I3" s="78" t="s">
        <v>90</v>
      </c>
      <c r="J3" s="78" t="s">
        <v>91</v>
      </c>
      <c r="K3" s="78" t="s">
        <v>92</v>
      </c>
      <c r="L3" s="69" t="s">
        <v>93</v>
      </c>
      <c r="M3" s="69" t="s">
        <v>94</v>
      </c>
      <c r="N3" s="78" t="s">
        <v>95</v>
      </c>
      <c r="O3" s="78" t="s">
        <v>96</v>
      </c>
      <c r="P3" s="78" t="s">
        <v>97</v>
      </c>
      <c r="Q3" s="78" t="s">
        <v>98</v>
      </c>
      <c r="R3" s="78" t="s">
        <v>99</v>
      </c>
      <c r="S3" s="69" t="s">
        <v>100</v>
      </c>
      <c r="T3" s="69" t="s">
        <v>101</v>
      </c>
      <c r="U3" s="78" t="s">
        <v>102</v>
      </c>
      <c r="V3" s="78" t="s">
        <v>103</v>
      </c>
      <c r="W3" s="78" t="s">
        <v>104</v>
      </c>
      <c r="X3" s="78" t="s">
        <v>105</v>
      </c>
      <c r="Y3" s="78" t="s">
        <v>106</v>
      </c>
      <c r="Z3" s="69" t="s">
        <v>107</v>
      </c>
      <c r="AA3" s="69" t="s">
        <v>108</v>
      </c>
      <c r="AB3" s="78" t="s">
        <v>109</v>
      </c>
      <c r="AC3" s="78" t="s">
        <v>110</v>
      </c>
      <c r="AD3" s="78" t="s">
        <v>111</v>
      </c>
      <c r="AE3" s="78" t="s">
        <v>112</v>
      </c>
      <c r="AF3" s="79" t="s">
        <v>54</v>
      </c>
      <c r="AG3" s="80" t="s">
        <v>55</v>
      </c>
      <c r="AH3" s="16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ht="15.75" customHeight="1" x14ac:dyDescent="0.25">
      <c r="A4" s="54"/>
      <c r="B4" s="46">
        <v>1</v>
      </c>
      <c r="C4" s="46">
        <v>2</v>
      </c>
      <c r="D4" s="50">
        <v>3</v>
      </c>
      <c r="E4" s="48">
        <v>4</v>
      </c>
      <c r="F4" s="48">
        <v>5</v>
      </c>
      <c r="G4" s="46">
        <v>6</v>
      </c>
      <c r="H4" s="46">
        <v>7</v>
      </c>
      <c r="I4" s="46">
        <v>8</v>
      </c>
      <c r="J4" s="46">
        <v>9</v>
      </c>
      <c r="K4" s="46">
        <v>10</v>
      </c>
      <c r="L4" s="48">
        <v>11</v>
      </c>
      <c r="M4" s="48">
        <v>12</v>
      </c>
      <c r="N4" s="46">
        <v>13</v>
      </c>
      <c r="O4" s="46">
        <v>14</v>
      </c>
      <c r="P4" s="46">
        <v>15</v>
      </c>
      <c r="Q4" s="46">
        <v>16</v>
      </c>
      <c r="R4" s="46">
        <v>17</v>
      </c>
      <c r="S4" s="48">
        <v>18</v>
      </c>
      <c r="T4" s="48">
        <v>19</v>
      </c>
      <c r="U4" s="46">
        <v>20</v>
      </c>
      <c r="V4" s="46">
        <v>21</v>
      </c>
      <c r="W4" s="46">
        <v>22</v>
      </c>
      <c r="X4" s="46">
        <v>23</v>
      </c>
      <c r="Y4" s="46">
        <v>24</v>
      </c>
      <c r="Z4" s="48">
        <v>25</v>
      </c>
      <c r="AA4" s="48">
        <v>26</v>
      </c>
      <c r="AB4" s="46">
        <v>27</v>
      </c>
      <c r="AC4" s="46">
        <v>28</v>
      </c>
      <c r="AD4" s="46">
        <v>29</v>
      </c>
      <c r="AE4" s="46">
        <v>30</v>
      </c>
      <c r="AF4" s="55"/>
      <c r="AG4" s="77"/>
      <c r="AH4" s="3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ht="15.75" customHeight="1" x14ac:dyDescent="0.25">
      <c r="A5" s="57" t="s">
        <v>179</v>
      </c>
      <c r="B5" s="32" t="s">
        <v>82</v>
      </c>
      <c r="C5" s="32" t="s">
        <v>82</v>
      </c>
      <c r="D5" s="32" t="s">
        <v>81</v>
      </c>
      <c r="E5" s="31"/>
      <c r="F5" s="31"/>
      <c r="G5" s="32"/>
      <c r="H5" s="32"/>
      <c r="I5" s="32"/>
      <c r="J5" s="32"/>
      <c r="K5" s="32"/>
      <c r="L5" s="31"/>
      <c r="M5" s="31"/>
      <c r="N5" s="32"/>
      <c r="O5" s="32"/>
      <c r="P5" s="32"/>
      <c r="Q5" s="32"/>
      <c r="R5" s="32"/>
      <c r="S5" s="31"/>
      <c r="T5" s="33"/>
      <c r="U5" s="34"/>
      <c r="V5" s="32"/>
      <c r="W5" s="32"/>
      <c r="X5" s="32"/>
      <c r="Y5" s="32"/>
      <c r="Z5" s="31"/>
      <c r="AA5" s="33"/>
      <c r="AB5" s="34"/>
      <c r="AC5" s="32"/>
      <c r="AD5" s="32"/>
      <c r="AE5" s="32"/>
      <c r="AF5" s="13">
        <f>(COUNTIF(B5:AC5,"P"))</f>
        <v>2</v>
      </c>
      <c r="AG5" s="59">
        <f>COUNTIF(B5:AF5,"P")</f>
        <v>2</v>
      </c>
      <c r="AH5" s="4">
        <f>COUNTIF(B5:AF5,"S")</f>
        <v>0</v>
      </c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ht="15.75" customHeight="1" x14ac:dyDescent="0.25">
      <c r="A6" s="57" t="s">
        <v>40</v>
      </c>
      <c r="B6" s="32"/>
      <c r="C6" s="32"/>
      <c r="D6" s="32" t="s">
        <v>81</v>
      </c>
      <c r="E6" s="31"/>
      <c r="F6" s="31"/>
      <c r="G6" s="32"/>
      <c r="H6" s="32"/>
      <c r="I6" s="32"/>
      <c r="J6" s="32"/>
      <c r="K6" s="32"/>
      <c r="L6" s="31"/>
      <c r="M6" s="31"/>
      <c r="N6" s="32"/>
      <c r="O6" s="32"/>
      <c r="P6" s="32"/>
      <c r="Q6" s="32"/>
      <c r="R6" s="32"/>
      <c r="S6" s="31"/>
      <c r="T6" s="33"/>
      <c r="U6" s="34"/>
      <c r="V6" s="32"/>
      <c r="W6" s="32"/>
      <c r="X6" s="32"/>
      <c r="Y6" s="32"/>
      <c r="Z6" s="31"/>
      <c r="AA6" s="33"/>
      <c r="AB6" s="34"/>
      <c r="AC6" s="32"/>
      <c r="AD6" s="32"/>
      <c r="AE6" s="32"/>
      <c r="AF6" s="13">
        <f>(COUNTIF(B6:AC6,"P"))</f>
        <v>0</v>
      </c>
      <c r="AG6" s="59">
        <f>COUNTIF(B6:AF6,"P")</f>
        <v>0</v>
      </c>
      <c r="AH6" s="4">
        <f>COUNTIF(B6:AF6,"S")</f>
        <v>0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ht="15.75" customHeight="1" x14ac:dyDescent="0.25">
      <c r="A7" s="57" t="s">
        <v>41</v>
      </c>
      <c r="B7" s="32"/>
      <c r="C7" s="32"/>
      <c r="D7" s="32" t="s">
        <v>81</v>
      </c>
      <c r="E7" s="31"/>
      <c r="F7" s="31"/>
      <c r="G7" s="32"/>
      <c r="H7" s="32"/>
      <c r="I7" s="32"/>
      <c r="J7" s="32"/>
      <c r="K7" s="32"/>
      <c r="L7" s="31"/>
      <c r="M7" s="31"/>
      <c r="N7" s="32"/>
      <c r="O7" s="32"/>
      <c r="P7" s="32"/>
      <c r="Q7" s="32"/>
      <c r="R7" s="32"/>
      <c r="S7" s="31"/>
      <c r="T7" s="33"/>
      <c r="U7" s="34"/>
      <c r="V7" s="32"/>
      <c r="W7" s="32"/>
      <c r="X7" s="32"/>
      <c r="Y7" s="32"/>
      <c r="Z7" s="31"/>
      <c r="AA7" s="33"/>
      <c r="AB7" s="34"/>
      <c r="AC7" s="32"/>
      <c r="AD7" s="32"/>
      <c r="AE7" s="32"/>
      <c r="AF7" s="13">
        <f>(COUNTIF(B7:AC7,"P"))</f>
        <v>0</v>
      </c>
      <c r="AG7" s="59">
        <f>COUNTIF(B7:AF7,"P")</f>
        <v>0</v>
      </c>
      <c r="AH7" s="4">
        <f>COUNTIF(B7:AF7,"S")</f>
        <v>0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ht="15.75" customHeight="1" x14ac:dyDescent="0.25">
      <c r="A8" s="60" t="s">
        <v>42</v>
      </c>
      <c r="B8" s="61"/>
      <c r="C8" s="61"/>
      <c r="D8" s="61" t="s">
        <v>81</v>
      </c>
      <c r="E8" s="62"/>
      <c r="F8" s="62"/>
      <c r="G8" s="61"/>
      <c r="H8" s="61"/>
      <c r="I8" s="61"/>
      <c r="J8" s="61"/>
      <c r="K8" s="61"/>
      <c r="L8" s="62"/>
      <c r="M8" s="62"/>
      <c r="N8" s="61"/>
      <c r="O8" s="61"/>
      <c r="P8" s="61"/>
      <c r="Q8" s="61"/>
      <c r="R8" s="61"/>
      <c r="S8" s="62"/>
      <c r="T8" s="63"/>
      <c r="U8" s="64"/>
      <c r="V8" s="61"/>
      <c r="W8" s="61"/>
      <c r="X8" s="61"/>
      <c r="Y8" s="61"/>
      <c r="Z8" s="62"/>
      <c r="AA8" s="63"/>
      <c r="AB8" s="64"/>
      <c r="AC8" s="61"/>
      <c r="AD8" s="61"/>
      <c r="AE8" s="61"/>
      <c r="AF8" s="65">
        <f>(COUNTIF(B8:AC8,"P"))</f>
        <v>0</v>
      </c>
      <c r="AG8" s="66">
        <f>COUNTIF(B8:AF8,"P")</f>
        <v>0</v>
      </c>
      <c r="AH8" s="4">
        <f>COUNTIF(B8:AF8,"S")</f>
        <v>0</v>
      </c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ht="15.75" customHeight="1" x14ac:dyDescent="0.25">
      <c r="A10" s="118" t="s">
        <v>84</v>
      </c>
      <c r="B10" s="118" t="s">
        <v>85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ht="15.75" customHeight="1" x14ac:dyDescent="0.25">
      <c r="A11" s="119"/>
      <c r="B11" s="11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ht="15.75" customHeight="1" x14ac:dyDescent="0.25">
      <c r="A12" s="120"/>
      <c r="B12" s="120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ht="15.75" customHeight="1" x14ac:dyDescent="0.25">
      <c r="A13" s="7" t="s">
        <v>86</v>
      </c>
      <c r="B13" s="8" t="s">
        <v>82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ht="15.75" customHeight="1" x14ac:dyDescent="0.25">
      <c r="A14" s="9" t="s">
        <v>87</v>
      </c>
      <c r="B14" s="8" t="s">
        <v>83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ht="15.75" customHeight="1" x14ac:dyDescent="0.25">
      <c r="A15" s="14" t="s">
        <v>88</v>
      </c>
      <c r="B15" s="8" t="s">
        <v>81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1:51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1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</sheetData>
  <mergeCells count="3">
    <mergeCell ref="A1:AG2"/>
    <mergeCell ref="A10:A12"/>
    <mergeCell ref="B10:B12"/>
  </mergeCells>
  <conditionalFormatting sqref="B5:AE8">
    <cfRule type="cellIs" dxfId="53" priority="4" operator="equal">
      <formula>"H"</formula>
    </cfRule>
    <cfRule type="cellIs" dxfId="52" priority="88" operator="equal">
      <formula>"S"</formula>
    </cfRule>
    <cfRule type="cellIs" dxfId="51" priority="89" operator="equal">
      <formula>"P"</formula>
    </cfRule>
    <cfRule type="cellIs" dxfId="50" priority="90" operator="equal">
      <formula>"H"</formula>
    </cfRule>
  </conditionalFormatting>
  <dataValidations count="1">
    <dataValidation type="list" allowBlank="1" showInputMessage="1" showErrorMessage="1" sqref="B5:AE8" xr:uid="{00000000-0002-0000-0200-000000000000}">
      <formula1>$B$13:$B$15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Z120"/>
  <sheetViews>
    <sheetView workbookViewId="0">
      <selection activeCell="F12" sqref="F12"/>
    </sheetView>
  </sheetViews>
  <sheetFormatPr defaultRowHeight="15" x14ac:dyDescent="0.25"/>
  <cols>
    <col min="1" max="1" width="16.5703125" bestFit="1" customWidth="1"/>
    <col min="2" max="2" width="5.5703125" bestFit="1" customWidth="1"/>
    <col min="3" max="3" width="6.28515625" customWidth="1"/>
    <col min="4" max="4" width="6.85546875" customWidth="1"/>
    <col min="5" max="5" width="7.7109375" customWidth="1"/>
    <col min="6" max="6" width="6.7109375" customWidth="1"/>
    <col min="7" max="7" width="7.7109375" customWidth="1"/>
    <col min="8" max="8" width="6.85546875" customWidth="1"/>
    <col min="9" max="9" width="6.7109375" customWidth="1"/>
    <col min="10" max="10" width="7.42578125" customWidth="1"/>
    <col min="11" max="11" width="8" customWidth="1"/>
    <col min="12" max="12" width="8.85546875" customWidth="1"/>
    <col min="13" max="13" width="7.85546875" customWidth="1"/>
    <col min="14" max="14" width="8.85546875" customWidth="1"/>
    <col min="15" max="15" width="8" customWidth="1"/>
    <col min="16" max="16" width="6.7109375" customWidth="1"/>
    <col min="17" max="17" width="8.5703125" customWidth="1"/>
    <col min="18" max="18" width="9.140625" customWidth="1"/>
    <col min="19" max="19" width="10" customWidth="1"/>
    <col min="20" max="20" width="9" customWidth="1"/>
    <col min="21" max="21" width="10" customWidth="1"/>
    <col min="22" max="22" width="9.140625" customWidth="1"/>
    <col min="23" max="23" width="7.85546875" customWidth="1"/>
    <col min="24" max="24" width="8.5703125" customWidth="1"/>
    <col min="25" max="25" width="9.140625" customWidth="1"/>
    <col min="26" max="26" width="10" customWidth="1"/>
    <col min="27" max="27" width="9" customWidth="1"/>
    <col min="28" max="28" width="10" customWidth="1"/>
    <col min="29" max="29" width="9.140625" customWidth="1"/>
    <col min="30" max="30" width="7.85546875" customWidth="1"/>
    <col min="31" max="31" width="8.5703125" customWidth="1"/>
    <col min="32" max="32" width="9.140625" customWidth="1"/>
    <col min="33" max="33" width="28" customWidth="1"/>
    <col min="34" max="34" width="23.85546875" customWidth="1"/>
  </cols>
  <sheetData>
    <row r="1" spans="1:52" ht="15.75" customHeight="1" x14ac:dyDescent="0.25">
      <c r="A1" s="72" t="s">
        <v>46</v>
      </c>
      <c r="B1" s="73" t="s">
        <v>52</v>
      </c>
      <c r="C1" s="69" t="s">
        <v>53</v>
      </c>
      <c r="D1" s="69" t="s">
        <v>47</v>
      </c>
      <c r="E1" s="74" t="s">
        <v>48</v>
      </c>
      <c r="F1" s="74" t="s">
        <v>49</v>
      </c>
      <c r="G1" s="74" t="s">
        <v>50</v>
      </c>
      <c r="H1" s="74" t="s">
        <v>51</v>
      </c>
      <c r="I1" s="74" t="s">
        <v>113</v>
      </c>
      <c r="J1" s="69" t="s">
        <v>114</v>
      </c>
      <c r="K1" s="69" t="s">
        <v>115</v>
      </c>
      <c r="L1" s="74" t="s">
        <v>116</v>
      </c>
      <c r="M1" s="74" t="s">
        <v>117</v>
      </c>
      <c r="N1" s="74" t="s">
        <v>118</v>
      </c>
      <c r="O1" s="74" t="s">
        <v>119</v>
      </c>
      <c r="P1" s="74" t="s">
        <v>120</v>
      </c>
      <c r="Q1" s="69" t="s">
        <v>121</v>
      </c>
      <c r="R1" s="69" t="s">
        <v>122</v>
      </c>
      <c r="S1" s="74" t="s">
        <v>123</v>
      </c>
      <c r="T1" s="74" t="s">
        <v>124</v>
      </c>
      <c r="U1" s="74" t="s">
        <v>125</v>
      </c>
      <c r="V1" s="74" t="s">
        <v>126</v>
      </c>
      <c r="W1" s="74" t="s">
        <v>127</v>
      </c>
      <c r="X1" s="69" t="s">
        <v>128</v>
      </c>
      <c r="Y1" s="69" t="s">
        <v>129</v>
      </c>
      <c r="Z1" s="74" t="s">
        <v>130</v>
      </c>
      <c r="AA1" s="74" t="s">
        <v>131</v>
      </c>
      <c r="AB1" s="73" t="s">
        <v>132</v>
      </c>
      <c r="AC1" s="74" t="s">
        <v>133</v>
      </c>
      <c r="AD1" s="74" t="s">
        <v>134</v>
      </c>
      <c r="AE1" s="69" t="s">
        <v>135</v>
      </c>
      <c r="AF1" s="69" t="s">
        <v>136</v>
      </c>
      <c r="AG1" s="75" t="s">
        <v>54</v>
      </c>
      <c r="AH1" s="76" t="s">
        <v>55</v>
      </c>
      <c r="AI1" s="16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5.75" customHeight="1" x14ac:dyDescent="0.25">
      <c r="A2" s="54"/>
      <c r="B2" s="49">
        <v>1</v>
      </c>
      <c r="C2" s="47">
        <v>2</v>
      </c>
      <c r="D2" s="47">
        <v>3</v>
      </c>
      <c r="E2" s="46">
        <v>4</v>
      </c>
      <c r="F2" s="46">
        <v>5</v>
      </c>
      <c r="G2" s="46">
        <v>6</v>
      </c>
      <c r="H2" s="46">
        <v>7</v>
      </c>
      <c r="I2" s="46">
        <v>8</v>
      </c>
      <c r="J2" s="47">
        <v>9</v>
      </c>
      <c r="K2" s="47">
        <v>10</v>
      </c>
      <c r="L2" s="46">
        <v>11</v>
      </c>
      <c r="M2" s="46">
        <v>12</v>
      </c>
      <c r="N2" s="46">
        <v>13</v>
      </c>
      <c r="O2" s="46">
        <v>14</v>
      </c>
      <c r="P2" s="46">
        <v>15</v>
      </c>
      <c r="Q2" s="47">
        <v>16</v>
      </c>
      <c r="R2" s="47">
        <v>17</v>
      </c>
      <c r="S2" s="46">
        <v>18</v>
      </c>
      <c r="T2" s="46">
        <v>19</v>
      </c>
      <c r="U2" s="46">
        <v>20</v>
      </c>
      <c r="V2" s="46">
        <v>21</v>
      </c>
      <c r="W2" s="46">
        <v>22</v>
      </c>
      <c r="X2" s="47">
        <v>23</v>
      </c>
      <c r="Y2" s="47">
        <v>24</v>
      </c>
      <c r="Z2" s="46">
        <v>25</v>
      </c>
      <c r="AA2" s="46">
        <v>26</v>
      </c>
      <c r="AB2" s="49">
        <v>27</v>
      </c>
      <c r="AC2" s="46">
        <v>28</v>
      </c>
      <c r="AD2" s="46">
        <v>29</v>
      </c>
      <c r="AE2" s="47">
        <v>30</v>
      </c>
      <c r="AF2" s="47">
        <v>31</v>
      </c>
      <c r="AG2" s="56"/>
      <c r="AH2" s="58"/>
      <c r="AI2" s="3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5.75" customHeight="1" x14ac:dyDescent="0.25">
      <c r="A3" s="57" t="s">
        <v>179</v>
      </c>
      <c r="B3" s="32" t="s">
        <v>81</v>
      </c>
      <c r="C3" s="31"/>
      <c r="D3" s="31"/>
      <c r="E3" s="32"/>
      <c r="F3" s="32"/>
      <c r="G3" s="32"/>
      <c r="H3" s="32"/>
      <c r="I3" s="32"/>
      <c r="J3" s="31"/>
      <c r="K3" s="31"/>
      <c r="L3" s="32"/>
      <c r="M3" s="32"/>
      <c r="N3" s="32"/>
      <c r="O3" s="32"/>
      <c r="P3" s="32"/>
      <c r="Q3" s="31"/>
      <c r="R3" s="33"/>
      <c r="S3" s="34"/>
      <c r="T3" s="32"/>
      <c r="U3" s="32"/>
      <c r="V3" s="32"/>
      <c r="W3" s="32"/>
      <c r="X3" s="31"/>
      <c r="Y3" s="33"/>
      <c r="Z3" s="34"/>
      <c r="AA3" s="32"/>
      <c r="AB3" s="32" t="s">
        <v>81</v>
      </c>
      <c r="AC3" s="32"/>
      <c r="AD3" s="32"/>
      <c r="AE3" s="31"/>
      <c r="AF3" s="33"/>
      <c r="AG3" s="13">
        <f>COUNTIF(B3:AF3,"P")</f>
        <v>0</v>
      </c>
      <c r="AH3" s="59">
        <f>COUNTIF(B3:AF3,"S")</f>
        <v>0</v>
      </c>
      <c r="AI3" s="4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5.75" customHeight="1" x14ac:dyDescent="0.25">
      <c r="A4" s="57" t="s">
        <v>40</v>
      </c>
      <c r="B4" s="32" t="s">
        <v>81</v>
      </c>
      <c r="C4" s="31"/>
      <c r="D4" s="31"/>
      <c r="E4" s="32"/>
      <c r="F4" s="32"/>
      <c r="G4" s="32"/>
      <c r="H4" s="32"/>
      <c r="I4" s="32"/>
      <c r="J4" s="31"/>
      <c r="K4" s="31"/>
      <c r="L4" s="32"/>
      <c r="M4" s="32"/>
      <c r="N4" s="32"/>
      <c r="O4" s="32"/>
      <c r="P4" s="32"/>
      <c r="Q4" s="31"/>
      <c r="R4" s="33"/>
      <c r="S4" s="34"/>
      <c r="T4" s="32"/>
      <c r="U4" s="32"/>
      <c r="V4" s="32"/>
      <c r="W4" s="32"/>
      <c r="X4" s="31"/>
      <c r="Y4" s="33"/>
      <c r="Z4" s="34"/>
      <c r="AA4" s="32"/>
      <c r="AB4" s="32" t="s">
        <v>81</v>
      </c>
      <c r="AC4" s="32"/>
      <c r="AD4" s="32"/>
      <c r="AE4" s="31"/>
      <c r="AF4" s="33"/>
      <c r="AG4" s="13">
        <f>COUNTIF(B4:AF4,"P")</f>
        <v>0</v>
      </c>
      <c r="AH4" s="59">
        <f>COUNTIF(B4:AF4,"S")</f>
        <v>0</v>
      </c>
      <c r="AI4" s="4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5.75" customHeight="1" x14ac:dyDescent="0.25">
      <c r="A5" s="57" t="s">
        <v>41</v>
      </c>
      <c r="B5" s="32" t="s">
        <v>81</v>
      </c>
      <c r="C5" s="31"/>
      <c r="D5" s="31"/>
      <c r="E5" s="32"/>
      <c r="F5" s="32"/>
      <c r="G5" s="32"/>
      <c r="H5" s="32"/>
      <c r="I5" s="32"/>
      <c r="J5" s="31"/>
      <c r="K5" s="31"/>
      <c r="L5" s="32"/>
      <c r="M5" s="32"/>
      <c r="N5" s="32"/>
      <c r="O5" s="32"/>
      <c r="P5" s="32"/>
      <c r="Q5" s="31"/>
      <c r="R5" s="33"/>
      <c r="S5" s="34"/>
      <c r="T5" s="32"/>
      <c r="U5" s="32"/>
      <c r="V5" s="32"/>
      <c r="W5" s="32"/>
      <c r="X5" s="31"/>
      <c r="Y5" s="33"/>
      <c r="Z5" s="34"/>
      <c r="AA5" s="32"/>
      <c r="AB5" s="32" t="s">
        <v>81</v>
      </c>
      <c r="AC5" s="32"/>
      <c r="AD5" s="32"/>
      <c r="AE5" s="31"/>
      <c r="AF5" s="33"/>
      <c r="AG5" s="13">
        <f>COUNTIF(B5:AF5,"P")</f>
        <v>0</v>
      </c>
      <c r="AH5" s="59">
        <f>COUNTIF(B5:AF5,"S")</f>
        <v>0</v>
      </c>
      <c r="AI5" s="4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5.75" customHeight="1" x14ac:dyDescent="0.25">
      <c r="A6" s="60" t="s">
        <v>42</v>
      </c>
      <c r="B6" s="61" t="s">
        <v>81</v>
      </c>
      <c r="C6" s="62"/>
      <c r="D6" s="62"/>
      <c r="E6" s="61"/>
      <c r="F6" s="61"/>
      <c r="G6" s="61"/>
      <c r="H6" s="61"/>
      <c r="I6" s="61"/>
      <c r="J6" s="62"/>
      <c r="K6" s="62"/>
      <c r="L6" s="61"/>
      <c r="M6" s="61"/>
      <c r="N6" s="61"/>
      <c r="O6" s="61"/>
      <c r="P6" s="61"/>
      <c r="Q6" s="62"/>
      <c r="R6" s="63"/>
      <c r="S6" s="64"/>
      <c r="T6" s="61"/>
      <c r="U6" s="61"/>
      <c r="V6" s="61"/>
      <c r="W6" s="61"/>
      <c r="X6" s="62"/>
      <c r="Y6" s="63"/>
      <c r="Z6" s="64"/>
      <c r="AA6" s="61"/>
      <c r="AB6" s="61" t="s">
        <v>81</v>
      </c>
      <c r="AC6" s="61"/>
      <c r="AD6" s="61"/>
      <c r="AE6" s="62"/>
      <c r="AF6" s="63"/>
      <c r="AG6" s="65">
        <f>COUNTIF(B6:AF6,"P")</f>
        <v>0</v>
      </c>
      <c r="AH6" s="66">
        <f>COUNTIF(B6:AF6,"S")</f>
        <v>0</v>
      </c>
      <c r="AI6" s="4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75" customHeight="1" x14ac:dyDescent="0.25">
      <c r="A8" s="118" t="s">
        <v>84</v>
      </c>
      <c r="B8" s="118" t="s">
        <v>85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75" customHeight="1" x14ac:dyDescent="0.25">
      <c r="A9" s="119"/>
      <c r="B9" s="11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.75" customHeight="1" x14ac:dyDescent="0.25">
      <c r="A10" s="120"/>
      <c r="B10" s="120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.75" customHeight="1" x14ac:dyDescent="0.25">
      <c r="A11" s="7" t="s">
        <v>86</v>
      </c>
      <c r="B11" s="8" t="s">
        <v>82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.75" customHeight="1" x14ac:dyDescent="0.25">
      <c r="A12" s="9" t="s">
        <v>87</v>
      </c>
      <c r="B12" s="8" t="s">
        <v>83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.75" customHeight="1" x14ac:dyDescent="0.25">
      <c r="A13" s="14" t="s">
        <v>88</v>
      </c>
      <c r="B13" s="8" t="s">
        <v>81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</sheetData>
  <mergeCells count="2">
    <mergeCell ref="A8:A10"/>
    <mergeCell ref="B8:B10"/>
  </mergeCells>
  <conditionalFormatting sqref="B3:AF6">
    <cfRule type="cellIs" dxfId="49" priority="4" operator="equal">
      <formula>"H"</formula>
    </cfRule>
    <cfRule type="cellIs" dxfId="48" priority="7" operator="equal">
      <formula>"S"</formula>
    </cfRule>
    <cfRule type="cellIs" dxfId="47" priority="8" operator="equal">
      <formula>"P"</formula>
    </cfRule>
    <cfRule type="cellIs" dxfId="46" priority="9" operator="equal">
      <formula>"H"</formula>
    </cfRule>
  </conditionalFormatting>
  <dataValidations count="1">
    <dataValidation type="list" allowBlank="1" showInputMessage="1" showErrorMessage="1" sqref="B3:AF6" xr:uid="{00000000-0002-0000-0300-000000000000}">
      <formula1>$B$11:$B$13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Y120"/>
  <sheetViews>
    <sheetView workbookViewId="0">
      <selection activeCell="E11" sqref="E11"/>
    </sheetView>
  </sheetViews>
  <sheetFormatPr defaultRowHeight="15" x14ac:dyDescent="0.25"/>
  <cols>
    <col min="1" max="1" width="16.5703125" bestFit="1" customWidth="1"/>
    <col min="2" max="2" width="7.7109375" customWidth="1"/>
    <col min="3" max="3" width="6.7109375" customWidth="1"/>
    <col min="4" max="4" width="7.7109375" customWidth="1"/>
    <col min="5" max="5" width="6.85546875" customWidth="1"/>
    <col min="6" max="6" width="5.5703125" customWidth="1"/>
    <col min="7" max="7" width="6.28515625" customWidth="1"/>
    <col min="8" max="8" width="6.85546875" customWidth="1"/>
    <col min="9" max="9" width="8.85546875" customWidth="1"/>
    <col min="10" max="10" width="7.85546875" customWidth="1"/>
    <col min="11" max="11" width="8.85546875" customWidth="1"/>
    <col min="12" max="12" width="8" customWidth="1"/>
    <col min="13" max="13" width="6.7109375" customWidth="1"/>
    <col min="14" max="14" width="7.42578125" customWidth="1"/>
    <col min="15" max="15" width="8" customWidth="1"/>
    <col min="16" max="16" width="8.85546875" customWidth="1"/>
    <col min="17" max="17" width="9" customWidth="1"/>
    <col min="18" max="18" width="10" customWidth="1"/>
    <col min="19" max="19" width="9.140625" customWidth="1"/>
    <col min="20" max="20" width="7.85546875" customWidth="1"/>
    <col min="21" max="21" width="8.5703125" customWidth="1"/>
    <col min="22" max="22" width="9.140625" customWidth="1"/>
    <col min="23" max="23" width="10" customWidth="1"/>
    <col min="24" max="24" width="9" customWidth="1"/>
    <col min="25" max="25" width="10" customWidth="1"/>
    <col min="26" max="26" width="9.140625" customWidth="1"/>
    <col min="27" max="27" width="7.85546875" customWidth="1"/>
    <col min="28" max="28" width="8.5703125" customWidth="1"/>
    <col min="29" max="29" width="9.140625" customWidth="1"/>
    <col min="30" max="30" width="10" customWidth="1"/>
    <col min="31" max="31" width="9" customWidth="1"/>
    <col min="32" max="32" width="28" customWidth="1"/>
    <col min="33" max="33" width="23.85546875" customWidth="1"/>
    <col min="34" max="34" width="2.140625" bestFit="1" customWidth="1"/>
  </cols>
  <sheetData>
    <row r="1" spans="1:51" ht="15.75" customHeight="1" x14ac:dyDescent="0.25">
      <c r="A1" s="67" t="s">
        <v>46</v>
      </c>
      <c r="B1" s="68" t="s">
        <v>48</v>
      </c>
      <c r="C1" s="68" t="s">
        <v>49</v>
      </c>
      <c r="D1" s="68" t="s">
        <v>50</v>
      </c>
      <c r="E1" s="68" t="s">
        <v>51</v>
      </c>
      <c r="F1" s="68" t="s">
        <v>52</v>
      </c>
      <c r="G1" s="69" t="s">
        <v>53</v>
      </c>
      <c r="H1" s="69" t="s">
        <v>47</v>
      </c>
      <c r="I1" s="68" t="s">
        <v>58</v>
      </c>
      <c r="J1" s="68" t="s">
        <v>59</v>
      </c>
      <c r="K1" s="68" t="s">
        <v>60</v>
      </c>
      <c r="L1" s="68" t="s">
        <v>61</v>
      </c>
      <c r="M1" s="68" t="s">
        <v>62</v>
      </c>
      <c r="N1" s="69" t="s">
        <v>137</v>
      </c>
      <c r="O1" s="69" t="s">
        <v>138</v>
      </c>
      <c r="P1" s="68" t="s">
        <v>139</v>
      </c>
      <c r="Q1" s="68" t="s">
        <v>140</v>
      </c>
      <c r="R1" s="68" t="s">
        <v>141</v>
      </c>
      <c r="S1" s="68" t="s">
        <v>142</v>
      </c>
      <c r="T1" s="68" t="s">
        <v>143</v>
      </c>
      <c r="U1" s="69" t="s">
        <v>144</v>
      </c>
      <c r="V1" s="69" t="s">
        <v>145</v>
      </c>
      <c r="W1" s="68" t="s">
        <v>146</v>
      </c>
      <c r="X1" s="68" t="s">
        <v>147</v>
      </c>
      <c r="Y1" s="68" t="s">
        <v>148</v>
      </c>
      <c r="Z1" s="68" t="s">
        <v>149</v>
      </c>
      <c r="AA1" s="68" t="s">
        <v>150</v>
      </c>
      <c r="AB1" s="69" t="s">
        <v>151</v>
      </c>
      <c r="AC1" s="69" t="s">
        <v>152</v>
      </c>
      <c r="AD1" s="68" t="s">
        <v>153</v>
      </c>
      <c r="AE1" s="68" t="s">
        <v>154</v>
      </c>
      <c r="AF1" s="70" t="s">
        <v>54</v>
      </c>
      <c r="AG1" s="71" t="s">
        <v>55</v>
      </c>
      <c r="AH1" s="16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15.75" customHeight="1" x14ac:dyDescent="0.25">
      <c r="A2" s="54"/>
      <c r="B2" s="51">
        <v>1</v>
      </c>
      <c r="C2" s="51">
        <v>2</v>
      </c>
      <c r="D2" s="51">
        <v>3</v>
      </c>
      <c r="E2" s="51">
        <v>4</v>
      </c>
      <c r="F2" s="51">
        <v>5</v>
      </c>
      <c r="G2" s="47">
        <v>6</v>
      </c>
      <c r="H2" s="47">
        <v>7</v>
      </c>
      <c r="I2" s="51">
        <v>8</v>
      </c>
      <c r="J2" s="51">
        <v>9</v>
      </c>
      <c r="K2" s="51">
        <v>10</v>
      </c>
      <c r="L2" s="51">
        <v>11</v>
      </c>
      <c r="M2" s="51">
        <v>12</v>
      </c>
      <c r="N2" s="47">
        <v>13</v>
      </c>
      <c r="O2" s="47">
        <v>14</v>
      </c>
      <c r="P2" s="51">
        <v>15</v>
      </c>
      <c r="Q2" s="51">
        <v>16</v>
      </c>
      <c r="R2" s="51">
        <v>17</v>
      </c>
      <c r="S2" s="51">
        <v>18</v>
      </c>
      <c r="T2" s="51">
        <v>19</v>
      </c>
      <c r="U2" s="47">
        <v>20</v>
      </c>
      <c r="V2" s="47">
        <v>21</v>
      </c>
      <c r="W2" s="51">
        <v>22</v>
      </c>
      <c r="X2" s="51">
        <v>23</v>
      </c>
      <c r="Y2" s="51">
        <v>24</v>
      </c>
      <c r="Z2" s="51">
        <v>25</v>
      </c>
      <c r="AA2" s="51">
        <v>26</v>
      </c>
      <c r="AB2" s="47">
        <v>27</v>
      </c>
      <c r="AC2" s="47">
        <v>28</v>
      </c>
      <c r="AD2" s="51">
        <v>29</v>
      </c>
      <c r="AE2" s="51">
        <v>30</v>
      </c>
      <c r="AF2" s="52"/>
      <c r="AG2" s="53"/>
      <c r="AH2" s="3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15.75" customHeight="1" x14ac:dyDescent="0.25">
      <c r="A3" s="57" t="s">
        <v>179</v>
      </c>
      <c r="B3" s="32"/>
      <c r="C3" s="32"/>
      <c r="D3" s="32"/>
      <c r="E3" s="32"/>
      <c r="F3" s="32"/>
      <c r="G3" s="31"/>
      <c r="H3" s="31"/>
      <c r="I3" s="32"/>
      <c r="J3" s="32"/>
      <c r="K3" s="32"/>
      <c r="L3" s="32"/>
      <c r="M3" s="32"/>
      <c r="N3" s="31"/>
      <c r="O3" s="33"/>
      <c r="P3" s="34"/>
      <c r="Q3" s="32"/>
      <c r="R3" s="32"/>
      <c r="S3" s="32"/>
      <c r="T3" s="32"/>
      <c r="U3" s="31"/>
      <c r="V3" s="33"/>
      <c r="W3" s="34"/>
      <c r="X3" s="32"/>
      <c r="Y3" s="32"/>
      <c r="Z3" s="32"/>
      <c r="AA3" s="32"/>
      <c r="AB3" s="31"/>
      <c r="AC3" s="33"/>
      <c r="AD3" s="34"/>
      <c r="AE3" s="32"/>
      <c r="AF3" s="13">
        <f>(COUNTIF(B3:AC3,"P"))</f>
        <v>0</v>
      </c>
      <c r="AG3" s="59">
        <f>COUNTIF(B3:AF3,"P")</f>
        <v>0</v>
      </c>
      <c r="AH3" s="4">
        <f>COUNTIF(B3:AF3,"S")</f>
        <v>0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ht="15.75" customHeight="1" x14ac:dyDescent="0.25">
      <c r="A4" s="57" t="s">
        <v>40</v>
      </c>
      <c r="B4" s="32"/>
      <c r="C4" s="32"/>
      <c r="D4" s="32"/>
      <c r="E4" s="32"/>
      <c r="F4" s="32"/>
      <c r="G4" s="31"/>
      <c r="H4" s="31"/>
      <c r="I4" s="32"/>
      <c r="J4" s="32"/>
      <c r="K4" s="32"/>
      <c r="L4" s="32"/>
      <c r="M4" s="32"/>
      <c r="N4" s="31"/>
      <c r="O4" s="33"/>
      <c r="P4" s="34"/>
      <c r="Q4" s="32"/>
      <c r="R4" s="32"/>
      <c r="S4" s="32"/>
      <c r="T4" s="32"/>
      <c r="U4" s="31"/>
      <c r="V4" s="33"/>
      <c r="W4" s="34"/>
      <c r="X4" s="32"/>
      <c r="Y4" s="32"/>
      <c r="Z4" s="32"/>
      <c r="AA4" s="32"/>
      <c r="AB4" s="31"/>
      <c r="AC4" s="33"/>
      <c r="AD4" s="34"/>
      <c r="AE4" s="32"/>
      <c r="AF4" s="13">
        <f>(COUNTIF(B4:AC4,"P"))</f>
        <v>0</v>
      </c>
      <c r="AG4" s="59">
        <f>COUNTIF(B4:AF4,"P")</f>
        <v>0</v>
      </c>
      <c r="AH4" s="4">
        <f>COUNTIF(B4:AF4,"S")</f>
        <v>0</v>
      </c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ht="15.75" customHeight="1" x14ac:dyDescent="0.25">
      <c r="A5" s="57" t="s">
        <v>41</v>
      </c>
      <c r="B5" s="32"/>
      <c r="C5" s="32"/>
      <c r="D5" s="32"/>
      <c r="E5" s="32"/>
      <c r="F5" s="32"/>
      <c r="G5" s="31"/>
      <c r="H5" s="31"/>
      <c r="I5" s="32"/>
      <c r="J5" s="32"/>
      <c r="K5" s="32"/>
      <c r="L5" s="32"/>
      <c r="M5" s="32"/>
      <c r="N5" s="31"/>
      <c r="O5" s="33"/>
      <c r="P5" s="34"/>
      <c r="Q5" s="32"/>
      <c r="R5" s="32"/>
      <c r="S5" s="32"/>
      <c r="T5" s="32"/>
      <c r="U5" s="31"/>
      <c r="V5" s="33"/>
      <c r="W5" s="34"/>
      <c r="X5" s="32"/>
      <c r="Y5" s="32"/>
      <c r="Z5" s="32"/>
      <c r="AA5" s="32"/>
      <c r="AB5" s="31"/>
      <c r="AC5" s="33"/>
      <c r="AD5" s="34"/>
      <c r="AE5" s="32"/>
      <c r="AF5" s="13">
        <f>(COUNTIF(B5:AC5,"P"))</f>
        <v>0</v>
      </c>
      <c r="AG5" s="59">
        <f>COUNTIF(B5:AF5,"P")</f>
        <v>0</v>
      </c>
      <c r="AH5" s="4">
        <f>COUNTIF(B5:AF5,"S")</f>
        <v>0</v>
      </c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ht="15.75" customHeight="1" x14ac:dyDescent="0.25">
      <c r="A6" s="60" t="s">
        <v>42</v>
      </c>
      <c r="B6" s="61"/>
      <c r="C6" s="61"/>
      <c r="D6" s="61"/>
      <c r="E6" s="61"/>
      <c r="F6" s="61"/>
      <c r="G6" s="62"/>
      <c r="H6" s="62"/>
      <c r="I6" s="61"/>
      <c r="J6" s="61"/>
      <c r="K6" s="61"/>
      <c r="L6" s="61"/>
      <c r="M6" s="61"/>
      <c r="N6" s="62"/>
      <c r="O6" s="63"/>
      <c r="P6" s="64"/>
      <c r="Q6" s="61"/>
      <c r="R6" s="61"/>
      <c r="S6" s="61"/>
      <c r="T6" s="61"/>
      <c r="U6" s="62"/>
      <c r="V6" s="63"/>
      <c r="W6" s="64"/>
      <c r="X6" s="61"/>
      <c r="Y6" s="61"/>
      <c r="Z6" s="61"/>
      <c r="AA6" s="61"/>
      <c r="AB6" s="62"/>
      <c r="AC6" s="63"/>
      <c r="AD6" s="64"/>
      <c r="AE6" s="61"/>
      <c r="AF6" s="65">
        <f>(COUNTIF(B6:AC6,"P"))</f>
        <v>0</v>
      </c>
      <c r="AG6" s="66">
        <f>COUNTIF(B6:AF6,"P")</f>
        <v>0</v>
      </c>
      <c r="AH6" s="4">
        <f>COUNTIF(B6:AF6,"S")</f>
        <v>0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ht="15.75" customHeight="1" x14ac:dyDescent="0.25">
      <c r="A8" s="118" t="s">
        <v>84</v>
      </c>
      <c r="B8" s="118" t="s">
        <v>85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ht="15.75" customHeight="1" x14ac:dyDescent="0.25">
      <c r="A9" s="119"/>
      <c r="B9" s="11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ht="15.75" customHeight="1" x14ac:dyDescent="0.25">
      <c r="A10" s="120"/>
      <c r="B10" s="120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ht="15.75" customHeight="1" x14ac:dyDescent="0.25">
      <c r="A11" s="7" t="s">
        <v>86</v>
      </c>
      <c r="B11" s="8" t="s">
        <v>82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ht="15.75" customHeight="1" x14ac:dyDescent="0.25">
      <c r="A12" s="9" t="s">
        <v>87</v>
      </c>
      <c r="B12" s="8" t="s">
        <v>83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ht="15.75" customHeight="1" x14ac:dyDescent="0.25">
      <c r="A13" s="14" t="s">
        <v>88</v>
      </c>
      <c r="B13" s="8" t="s">
        <v>81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1:51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1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</sheetData>
  <mergeCells count="2">
    <mergeCell ref="A8:A10"/>
    <mergeCell ref="B8:B10"/>
  </mergeCells>
  <conditionalFormatting sqref="B3:AE6">
    <cfRule type="cellIs" dxfId="45" priority="10" operator="equal">
      <formula>"S"</formula>
    </cfRule>
    <cfRule type="cellIs" dxfId="44" priority="11" operator="equal">
      <formula>"P"</formula>
    </cfRule>
    <cfRule type="cellIs" dxfId="43" priority="12" operator="equal">
      <formula>"H"</formula>
    </cfRule>
    <cfRule type="cellIs" dxfId="42" priority="13" operator="equal">
      <formula>"H"</formula>
    </cfRule>
  </conditionalFormatting>
  <dataValidations count="1">
    <dataValidation type="list" allowBlank="1" showInputMessage="1" showErrorMessage="1" sqref="B3:AE6" xr:uid="{00000000-0002-0000-0400-000000000000}">
      <formula1>$B$11:$B$13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AZ124"/>
  <sheetViews>
    <sheetView workbookViewId="0">
      <selection sqref="A1:XFD1048576"/>
    </sheetView>
  </sheetViews>
  <sheetFormatPr defaultRowHeight="15" x14ac:dyDescent="0.25"/>
  <cols>
    <col min="1" max="1" width="19.42578125" bestFit="1" customWidth="1"/>
    <col min="2" max="2" width="5.5703125" bestFit="1" customWidth="1"/>
    <col min="3" max="3" width="4.7109375" bestFit="1" customWidth="1"/>
    <col min="4" max="4" width="3.42578125" bestFit="1" customWidth="1"/>
    <col min="5" max="5" width="4.140625" bestFit="1" customWidth="1"/>
    <col min="6" max="6" width="4.7109375" bestFit="1" customWidth="1"/>
    <col min="7" max="7" width="5.5703125" bestFit="1" customWidth="1"/>
    <col min="8" max="8" width="4.5703125" bestFit="1" customWidth="1"/>
    <col min="9" max="9" width="5.5703125" bestFit="1" customWidth="1"/>
    <col min="10" max="10" width="4.7109375" bestFit="1" customWidth="1"/>
    <col min="11" max="11" width="3.42578125" bestFit="1" customWidth="1"/>
    <col min="12" max="12" width="4.140625" bestFit="1" customWidth="1"/>
    <col min="13" max="13" width="4.7109375" bestFit="1" customWidth="1"/>
    <col min="14" max="14" width="5.5703125" bestFit="1" customWidth="1"/>
    <col min="15" max="15" width="4.5703125" bestFit="1" customWidth="1"/>
    <col min="16" max="16" width="5.5703125" bestFit="1" customWidth="1"/>
    <col min="17" max="17" width="4.7109375" bestFit="1" customWidth="1"/>
    <col min="18" max="18" width="3.42578125" bestFit="1" customWidth="1"/>
    <col min="19" max="19" width="4.140625" bestFit="1" customWidth="1"/>
    <col min="20" max="20" width="4.7109375" bestFit="1" customWidth="1"/>
    <col min="21" max="21" width="5.5703125" bestFit="1" customWidth="1"/>
    <col min="22" max="22" width="4.5703125" bestFit="1" customWidth="1"/>
    <col min="23" max="23" width="5.5703125" bestFit="1" customWidth="1"/>
    <col min="24" max="24" width="4.7109375" bestFit="1" customWidth="1"/>
    <col min="25" max="25" width="3.42578125" bestFit="1" customWidth="1"/>
    <col min="26" max="26" width="4.140625" bestFit="1" customWidth="1"/>
    <col min="27" max="27" width="4.7109375" bestFit="1" customWidth="1"/>
    <col min="28" max="28" width="5.5703125" bestFit="1" customWidth="1"/>
    <col min="29" max="29" width="4.5703125" bestFit="1" customWidth="1"/>
    <col min="30" max="30" width="5.5703125" bestFit="1" customWidth="1"/>
    <col min="31" max="31" width="4.7109375" bestFit="1" customWidth="1"/>
    <col min="32" max="32" width="3.42578125" bestFit="1" customWidth="1"/>
    <col min="33" max="33" width="25.28515625" bestFit="1" customWidth="1"/>
    <col min="34" max="34" width="21.42578125" bestFit="1" customWidth="1"/>
  </cols>
  <sheetData>
    <row r="1" spans="1:52" ht="15.75" customHeight="1" x14ac:dyDescent="0.25">
      <c r="A1" s="112" t="s">
        <v>155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4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5.75" customHeight="1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7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5.75" customHeight="1" x14ac:dyDescent="0.25">
      <c r="A3" s="122" t="s">
        <v>156</v>
      </c>
      <c r="B3" s="44" t="s">
        <v>50</v>
      </c>
      <c r="C3" s="44" t="s">
        <v>51</v>
      </c>
      <c r="D3" s="44" t="s">
        <v>52</v>
      </c>
      <c r="E3" s="44" t="s">
        <v>53</v>
      </c>
      <c r="F3" s="44" t="s">
        <v>47</v>
      </c>
      <c r="G3" s="44" t="s">
        <v>48</v>
      </c>
      <c r="H3" s="44" t="s">
        <v>49</v>
      </c>
      <c r="I3" s="44" t="s">
        <v>50</v>
      </c>
      <c r="J3" s="44" t="s">
        <v>51</v>
      </c>
      <c r="K3" s="44" t="s">
        <v>52</v>
      </c>
      <c r="L3" s="44" t="s">
        <v>53</v>
      </c>
      <c r="M3" s="44" t="s">
        <v>47</v>
      </c>
      <c r="N3" s="44" t="s">
        <v>48</v>
      </c>
      <c r="O3" s="44" t="s">
        <v>49</v>
      </c>
      <c r="P3" s="44" t="s">
        <v>50</v>
      </c>
      <c r="Q3" s="44" t="s">
        <v>51</v>
      </c>
      <c r="R3" s="44" t="s">
        <v>52</v>
      </c>
      <c r="S3" s="44" t="s">
        <v>53</v>
      </c>
      <c r="T3" s="44" t="s">
        <v>47</v>
      </c>
      <c r="U3" s="44" t="s">
        <v>48</v>
      </c>
      <c r="V3" s="44" t="s">
        <v>49</v>
      </c>
      <c r="W3" s="44" t="s">
        <v>50</v>
      </c>
      <c r="X3" s="44" t="s">
        <v>51</v>
      </c>
      <c r="Y3" s="44" t="s">
        <v>52</v>
      </c>
      <c r="Z3" s="44" t="s">
        <v>53</v>
      </c>
      <c r="AA3" s="44" t="s">
        <v>47</v>
      </c>
      <c r="AB3" s="44" t="s">
        <v>48</v>
      </c>
      <c r="AC3" s="44" t="s">
        <v>49</v>
      </c>
      <c r="AD3" s="44" t="s">
        <v>50</v>
      </c>
      <c r="AE3" s="44" t="s">
        <v>51</v>
      </c>
      <c r="AF3" s="44" t="s">
        <v>52</v>
      </c>
      <c r="AG3" s="123" t="s">
        <v>54</v>
      </c>
      <c r="AH3" s="121" t="s">
        <v>55</v>
      </c>
      <c r="AI3" s="16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5.75" customHeight="1" x14ac:dyDescent="0.25">
      <c r="A4" s="120"/>
      <c r="B4" s="45">
        <v>1</v>
      </c>
      <c r="C4" s="45">
        <v>2</v>
      </c>
      <c r="D4" s="45">
        <v>3</v>
      </c>
      <c r="E4" s="45">
        <v>4</v>
      </c>
      <c r="F4" s="45">
        <v>5</v>
      </c>
      <c r="G4" s="45">
        <v>6</v>
      </c>
      <c r="H4" s="45">
        <v>7</v>
      </c>
      <c r="I4" s="45">
        <v>8</v>
      </c>
      <c r="J4" s="45">
        <v>9</v>
      </c>
      <c r="K4" s="45">
        <v>10</v>
      </c>
      <c r="L4" s="45">
        <v>11</v>
      </c>
      <c r="M4" s="45">
        <v>12</v>
      </c>
      <c r="N4" s="45">
        <v>13</v>
      </c>
      <c r="O4" s="45">
        <v>14</v>
      </c>
      <c r="P4" s="45">
        <v>15</v>
      </c>
      <c r="Q4" s="45">
        <v>16</v>
      </c>
      <c r="R4" s="45">
        <v>17</v>
      </c>
      <c r="S4" s="45">
        <v>18</v>
      </c>
      <c r="T4" s="45">
        <v>19</v>
      </c>
      <c r="U4" s="45">
        <v>20</v>
      </c>
      <c r="V4" s="45">
        <v>21</v>
      </c>
      <c r="W4" s="45">
        <v>22</v>
      </c>
      <c r="X4" s="45">
        <v>23</v>
      </c>
      <c r="Y4" s="45">
        <v>24</v>
      </c>
      <c r="Z4" s="45">
        <v>25</v>
      </c>
      <c r="AA4" s="45">
        <v>26</v>
      </c>
      <c r="AB4" s="45">
        <v>27</v>
      </c>
      <c r="AC4" s="45">
        <v>28</v>
      </c>
      <c r="AD4" s="45">
        <v>29</v>
      </c>
      <c r="AE4" s="45">
        <v>30</v>
      </c>
      <c r="AF4" s="45">
        <v>31</v>
      </c>
      <c r="AG4" s="119"/>
      <c r="AH4" s="119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8.75" customHeight="1" x14ac:dyDescent="0.25">
      <c r="A5" s="6" t="s">
        <v>157</v>
      </c>
      <c r="B5" s="124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37"/>
      <c r="AG5" s="120"/>
      <c r="AH5" s="120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5.75" customHeight="1" x14ac:dyDescent="0.25">
      <c r="A6" s="5" t="s">
        <v>39</v>
      </c>
      <c r="B6" s="32"/>
      <c r="C6" s="32"/>
      <c r="D6" s="32"/>
      <c r="E6" s="31"/>
      <c r="F6" s="31"/>
      <c r="G6" s="32"/>
      <c r="H6" s="32"/>
      <c r="I6" s="32"/>
      <c r="J6" s="32"/>
      <c r="K6" s="32"/>
      <c r="L6" s="31"/>
      <c r="M6" s="33"/>
      <c r="N6" s="34"/>
      <c r="O6" s="32"/>
      <c r="P6" s="32"/>
      <c r="Q6" s="32"/>
      <c r="R6" s="32"/>
      <c r="S6" s="31"/>
      <c r="T6" s="33"/>
      <c r="U6" s="34"/>
      <c r="V6" s="32"/>
      <c r="W6" s="32"/>
      <c r="X6" s="32"/>
      <c r="Y6" s="32"/>
      <c r="Z6" s="31"/>
      <c r="AA6" s="33"/>
      <c r="AB6" s="34"/>
      <c r="AC6" s="32"/>
      <c r="AD6" s="32"/>
      <c r="AE6" s="32"/>
      <c r="AF6" s="32">
        <f>COUNTIF(B6:AE6,"P")</f>
        <v>0</v>
      </c>
      <c r="AG6" s="13">
        <f>COUNTIF(B6:AE6,"S")</f>
        <v>0</v>
      </c>
      <c r="AH6" s="13">
        <f>(COUNTIF(B6:AA6,"S"))</f>
        <v>0</v>
      </c>
      <c r="AI6" s="4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75" customHeight="1" x14ac:dyDescent="0.25">
      <c r="A7" s="5" t="s">
        <v>158</v>
      </c>
      <c r="B7" s="32"/>
      <c r="C7" s="32"/>
      <c r="D7" s="32"/>
      <c r="E7" s="31"/>
      <c r="F7" s="31"/>
      <c r="G7" s="32"/>
      <c r="H7" s="32"/>
      <c r="I7" s="32"/>
      <c r="J7" s="32"/>
      <c r="K7" s="32"/>
      <c r="L7" s="31"/>
      <c r="M7" s="33"/>
      <c r="N7" s="34"/>
      <c r="O7" s="32"/>
      <c r="P7" s="32"/>
      <c r="Q7" s="32"/>
      <c r="R7" s="32"/>
      <c r="S7" s="31"/>
      <c r="T7" s="33"/>
      <c r="U7" s="34"/>
      <c r="V7" s="32"/>
      <c r="W7" s="32"/>
      <c r="X7" s="32"/>
      <c r="Y7" s="32"/>
      <c r="Z7" s="31"/>
      <c r="AA7" s="33"/>
      <c r="AB7" s="34"/>
      <c r="AC7" s="32"/>
      <c r="AD7" s="32"/>
      <c r="AE7" s="32"/>
      <c r="AF7" s="32"/>
      <c r="AG7" s="13">
        <f>(COUNTIF(B7:AA7,"P"))</f>
        <v>0</v>
      </c>
      <c r="AH7" s="13">
        <f>(COUNTIF(B7:AA7,"S"))</f>
        <v>0</v>
      </c>
      <c r="AI7" s="4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75" customHeight="1" x14ac:dyDescent="0.25">
      <c r="A8" s="5" t="s">
        <v>159</v>
      </c>
      <c r="B8" s="32"/>
      <c r="C8" s="32"/>
      <c r="D8" s="32"/>
      <c r="E8" s="31"/>
      <c r="F8" s="31"/>
      <c r="G8" s="32"/>
      <c r="H8" s="32"/>
      <c r="I8" s="32"/>
      <c r="J8" s="32"/>
      <c r="K8" s="32"/>
      <c r="L8" s="31"/>
      <c r="M8" s="33"/>
      <c r="N8" s="34"/>
      <c r="O8" s="32"/>
      <c r="P8" s="32"/>
      <c r="Q8" s="32"/>
      <c r="R8" s="32"/>
      <c r="S8" s="31"/>
      <c r="T8" s="33"/>
      <c r="U8" s="34"/>
      <c r="V8" s="32"/>
      <c r="W8" s="32"/>
      <c r="X8" s="32"/>
      <c r="Y8" s="32"/>
      <c r="Z8" s="31"/>
      <c r="AA8" s="33"/>
      <c r="AB8" s="34"/>
      <c r="AC8" s="32"/>
      <c r="AD8" s="32"/>
      <c r="AE8" s="32"/>
      <c r="AF8" s="32"/>
      <c r="AG8" s="13">
        <f>(COUNTIF(B8:AA8,"P"))</f>
        <v>0</v>
      </c>
      <c r="AH8" s="13">
        <f>(COUNTIF(B8:AA8,"S"))</f>
        <v>0</v>
      </c>
      <c r="AI8" s="4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75" customHeight="1" x14ac:dyDescent="0.25">
      <c r="A9" s="5" t="s">
        <v>160</v>
      </c>
      <c r="B9" s="32"/>
      <c r="C9" s="32"/>
      <c r="D9" s="32"/>
      <c r="E9" s="31"/>
      <c r="F9" s="31"/>
      <c r="G9" s="32"/>
      <c r="H9" s="32"/>
      <c r="I9" s="32"/>
      <c r="J9" s="32"/>
      <c r="K9" s="32"/>
      <c r="L9" s="31"/>
      <c r="M9" s="33"/>
      <c r="N9" s="34"/>
      <c r="O9" s="32"/>
      <c r="P9" s="32"/>
      <c r="Q9" s="32"/>
      <c r="R9" s="32"/>
      <c r="S9" s="31"/>
      <c r="T9" s="33"/>
      <c r="U9" s="34"/>
      <c r="V9" s="32"/>
      <c r="W9" s="32"/>
      <c r="X9" s="32"/>
      <c r="Y9" s="32"/>
      <c r="Z9" s="31"/>
      <c r="AA9" s="33"/>
      <c r="AB9" s="34"/>
      <c r="AC9" s="32"/>
      <c r="AD9" s="32"/>
      <c r="AE9" s="32"/>
      <c r="AF9" s="32"/>
      <c r="AG9" s="13">
        <f>(COUNTIF(B9:AA9,"P"))</f>
        <v>0</v>
      </c>
      <c r="AH9" s="13">
        <f>(COUNTIF(B9:AA9,"S"))</f>
        <v>0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.75" customHeight="1" x14ac:dyDescent="0.25">
      <c r="A10" s="5" t="s">
        <v>161</v>
      </c>
      <c r="B10" s="10"/>
      <c r="C10" s="10"/>
      <c r="D10" s="10"/>
      <c r="E10" s="10"/>
      <c r="F10" s="11"/>
      <c r="G10" s="11"/>
      <c r="H10" s="10"/>
      <c r="I10" s="10"/>
      <c r="J10" s="10"/>
      <c r="K10" s="10"/>
      <c r="L10" s="10"/>
      <c r="M10" s="12"/>
      <c r="N10" s="12"/>
      <c r="O10" s="10"/>
      <c r="P10" s="10"/>
      <c r="Q10" s="10"/>
      <c r="R10" s="10"/>
      <c r="S10" s="10"/>
      <c r="T10" s="12"/>
      <c r="U10" s="12"/>
      <c r="V10" s="10"/>
      <c r="W10" s="10"/>
      <c r="X10" s="10"/>
      <c r="Y10" s="10"/>
      <c r="Z10" s="10"/>
      <c r="AA10" s="12"/>
      <c r="AB10" s="12"/>
      <c r="AC10" s="10"/>
      <c r="AD10" s="10"/>
      <c r="AE10" s="10"/>
      <c r="AF10" s="10"/>
      <c r="AG10" s="13">
        <f>(COUNTIF(B10:AA10,"P"))</f>
        <v>0</v>
      </c>
      <c r="AH10" s="13">
        <f>(COUNTIF(B10:AA10,"S"))</f>
        <v>0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.75" customHeight="1" x14ac:dyDescent="0.25">
      <c r="A12" s="118" t="s">
        <v>84</v>
      </c>
      <c r="B12" s="118" t="s">
        <v>85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.75" customHeight="1" x14ac:dyDescent="0.25">
      <c r="A13" s="119"/>
      <c r="B13" s="11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.75" customHeight="1" x14ac:dyDescent="0.25">
      <c r="A14" s="120"/>
      <c r="B14" s="12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.75" customHeight="1" x14ac:dyDescent="0.25">
      <c r="A15" s="7" t="s">
        <v>86</v>
      </c>
      <c r="B15" s="8" t="s">
        <v>82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.75" customHeight="1" x14ac:dyDescent="0.25">
      <c r="A16" s="9" t="s">
        <v>87</v>
      </c>
      <c r="B16" s="8" t="s">
        <v>83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.75" customHeight="1" x14ac:dyDescent="0.25">
      <c r="A17" s="14" t="s">
        <v>88</v>
      </c>
      <c r="B17" s="8" t="s">
        <v>81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</sheetData>
  <mergeCells count="7">
    <mergeCell ref="A1:AH2"/>
    <mergeCell ref="A12:A14"/>
    <mergeCell ref="AH3:AH5"/>
    <mergeCell ref="B12:B14"/>
    <mergeCell ref="A3:A4"/>
    <mergeCell ref="AG3:AG5"/>
    <mergeCell ref="B5:AE5"/>
  </mergeCells>
  <conditionalFormatting sqref="B6:AF9">
    <cfRule type="cellIs" dxfId="41" priority="22" operator="equal">
      <formula>"H"</formula>
    </cfRule>
  </conditionalFormatting>
  <conditionalFormatting sqref="B6:AF10">
    <cfRule type="cellIs" dxfId="40" priority="1" operator="equal">
      <formula>"S"</formula>
    </cfRule>
    <cfRule type="cellIs" dxfId="39" priority="2" operator="equal">
      <formula>"P"</formula>
    </cfRule>
    <cfRule type="cellIs" dxfId="38" priority="3" operator="equal">
      <formula>"H"</formula>
    </cfRule>
  </conditionalFormatting>
  <conditionalFormatting sqref="D6:D8">
    <cfRule type="cellIs" dxfId="37" priority="19" operator="equal">
      <formula>"S"</formula>
    </cfRule>
    <cfRule type="cellIs" dxfId="36" priority="20" operator="equal">
      <formula>"P"</formula>
    </cfRule>
    <cfRule type="cellIs" dxfId="35" priority="21" operator="equal">
      <formula>"H"</formula>
    </cfRule>
  </conditionalFormatting>
  <conditionalFormatting sqref="M6:N8">
    <cfRule type="cellIs" dxfId="34" priority="16" operator="equal">
      <formula>"S"</formula>
    </cfRule>
    <cfRule type="cellIs" dxfId="33" priority="17" operator="equal">
      <formula>"P"</formula>
    </cfRule>
    <cfRule type="cellIs" dxfId="32" priority="18" operator="equal">
      <formula>"H"</formula>
    </cfRule>
  </conditionalFormatting>
  <conditionalFormatting sqref="AA6:AB8">
    <cfRule type="cellIs" dxfId="31" priority="13" operator="equal">
      <formula>"S"</formula>
    </cfRule>
    <cfRule type="cellIs" dxfId="30" priority="14" operator="equal">
      <formula>"P"</formula>
    </cfRule>
    <cfRule type="cellIs" dxfId="29" priority="15" operator="equal">
      <formula>"H"</formula>
    </cfRule>
  </conditionalFormatting>
  <dataValidations count="1">
    <dataValidation type="list" allowBlank="1" showInputMessage="1" showErrorMessage="1" sqref="B6:AF10" xr:uid="{00000000-0002-0000-0500-000000000000}">
      <formula1>$B$15:$B$17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AZ124"/>
  <sheetViews>
    <sheetView workbookViewId="0">
      <selection sqref="A1:AH2"/>
    </sheetView>
  </sheetViews>
  <sheetFormatPr defaultRowHeight="15" x14ac:dyDescent="0.25"/>
  <cols>
    <col min="1" max="1" width="19.42578125" bestFit="1" customWidth="1"/>
    <col min="2" max="2" width="5.5703125" bestFit="1" customWidth="1"/>
    <col min="3" max="3" width="4" bestFit="1" customWidth="1"/>
    <col min="4" max="4" width="4.5703125" bestFit="1" customWidth="1"/>
    <col min="5" max="5" width="5.5703125" bestFit="1" customWidth="1"/>
    <col min="6" max="6" width="4.5703125" bestFit="1" customWidth="1"/>
    <col min="7" max="7" width="5.5703125" bestFit="1" customWidth="1"/>
    <col min="8" max="8" width="4.7109375" bestFit="1" customWidth="1"/>
    <col min="9" max="9" width="3.5703125" bestFit="1" customWidth="1"/>
    <col min="10" max="10" width="4" bestFit="1" customWidth="1"/>
    <col min="11" max="11" width="4.5703125" bestFit="1" customWidth="1"/>
    <col min="12" max="12" width="5.5703125" bestFit="1" customWidth="1"/>
    <col min="13" max="13" width="4.5703125" bestFit="1" customWidth="1"/>
    <col min="14" max="14" width="5.5703125" bestFit="1" customWidth="1"/>
    <col min="15" max="15" width="4.7109375" bestFit="1" customWidth="1"/>
    <col min="16" max="16" width="3.5703125" bestFit="1" customWidth="1"/>
    <col min="17" max="17" width="4" bestFit="1" customWidth="1"/>
    <col min="18" max="18" width="4.5703125" bestFit="1" customWidth="1"/>
    <col min="19" max="19" width="5.5703125" bestFit="1" customWidth="1"/>
    <col min="20" max="20" width="4.5703125" bestFit="1" customWidth="1"/>
    <col min="21" max="21" width="5.5703125" bestFit="1" customWidth="1"/>
    <col min="22" max="22" width="4.7109375" bestFit="1" customWidth="1"/>
    <col min="23" max="23" width="3.5703125" bestFit="1" customWidth="1"/>
    <col min="24" max="24" width="4" bestFit="1" customWidth="1"/>
    <col min="25" max="25" width="4.5703125" bestFit="1" customWidth="1"/>
    <col min="26" max="26" width="5.5703125" bestFit="1" customWidth="1"/>
    <col min="27" max="27" width="4.5703125" bestFit="1" customWidth="1"/>
    <col min="28" max="28" width="5.5703125" bestFit="1" customWidth="1"/>
    <col min="29" max="29" width="4.7109375" bestFit="1" customWidth="1"/>
    <col min="30" max="30" width="3.5703125" bestFit="1" customWidth="1"/>
    <col min="31" max="31" width="4" bestFit="1" customWidth="1"/>
    <col min="32" max="32" width="4.5703125" bestFit="1" customWidth="1"/>
  </cols>
  <sheetData>
    <row r="1" spans="1:52" ht="15.75" customHeight="1" x14ac:dyDescent="0.25">
      <c r="A1" s="112" t="s">
        <v>162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4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5.75" customHeight="1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7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5.75" customHeight="1" x14ac:dyDescent="0.25">
      <c r="A3" s="122" t="s">
        <v>156</v>
      </c>
      <c r="B3" s="27" t="s">
        <v>53</v>
      </c>
      <c r="C3" s="27" t="s">
        <v>47</v>
      </c>
      <c r="D3" s="28" t="s">
        <v>48</v>
      </c>
      <c r="E3" s="28" t="s">
        <v>49</v>
      </c>
      <c r="F3" s="28" t="s">
        <v>50</v>
      </c>
      <c r="G3" s="28" t="s">
        <v>51</v>
      </c>
      <c r="H3" s="28" t="s">
        <v>52</v>
      </c>
      <c r="I3" s="27" t="s">
        <v>53</v>
      </c>
      <c r="J3" s="27" t="s">
        <v>47</v>
      </c>
      <c r="K3" s="28" t="s">
        <v>48</v>
      </c>
      <c r="L3" s="28" t="s">
        <v>49</v>
      </c>
      <c r="M3" s="28" t="s">
        <v>50</v>
      </c>
      <c r="N3" s="28" t="s">
        <v>51</v>
      </c>
      <c r="O3" s="28" t="s">
        <v>52</v>
      </c>
      <c r="P3" s="27" t="s">
        <v>53</v>
      </c>
      <c r="Q3" s="27" t="s">
        <v>47</v>
      </c>
      <c r="R3" s="28" t="s">
        <v>48</v>
      </c>
      <c r="S3" s="28" t="s">
        <v>49</v>
      </c>
      <c r="T3" s="28" t="s">
        <v>50</v>
      </c>
      <c r="U3" s="28" t="s">
        <v>51</v>
      </c>
      <c r="V3" s="28" t="s">
        <v>52</v>
      </c>
      <c r="W3" s="27" t="s">
        <v>53</v>
      </c>
      <c r="X3" s="27" t="s">
        <v>47</v>
      </c>
      <c r="Y3" s="28" t="s">
        <v>48</v>
      </c>
      <c r="Z3" s="28" t="s">
        <v>49</v>
      </c>
      <c r="AA3" s="28" t="s">
        <v>50</v>
      </c>
      <c r="AB3" s="28" t="s">
        <v>51</v>
      </c>
      <c r="AC3" s="28" t="s">
        <v>52</v>
      </c>
      <c r="AD3" s="27" t="s">
        <v>53</v>
      </c>
      <c r="AE3" s="27" t="s">
        <v>47</v>
      </c>
      <c r="AF3" s="28" t="s">
        <v>48</v>
      </c>
      <c r="AG3" s="123" t="s">
        <v>54</v>
      </c>
      <c r="AH3" s="121" t="s">
        <v>55</v>
      </c>
      <c r="AI3" s="16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5.75" customHeight="1" x14ac:dyDescent="0.25">
      <c r="A4" s="120"/>
      <c r="B4" s="29">
        <v>1</v>
      </c>
      <c r="C4" s="29">
        <v>2</v>
      </c>
      <c r="D4" s="30">
        <v>3</v>
      </c>
      <c r="E4" s="30">
        <v>4</v>
      </c>
      <c r="F4" s="30">
        <v>5</v>
      </c>
      <c r="G4" s="30">
        <v>6</v>
      </c>
      <c r="H4" s="30">
        <v>7</v>
      </c>
      <c r="I4" s="29">
        <v>8</v>
      </c>
      <c r="J4" s="29">
        <v>9</v>
      </c>
      <c r="K4" s="30">
        <v>10</v>
      </c>
      <c r="L4" s="30">
        <v>11</v>
      </c>
      <c r="M4" s="30">
        <v>12</v>
      </c>
      <c r="N4" s="30">
        <v>13</v>
      </c>
      <c r="O4" s="30">
        <v>14</v>
      </c>
      <c r="P4" s="29">
        <v>15</v>
      </c>
      <c r="Q4" s="29">
        <v>16</v>
      </c>
      <c r="R4" s="30">
        <v>17</v>
      </c>
      <c r="S4" s="30">
        <v>18</v>
      </c>
      <c r="T4" s="30">
        <v>19</v>
      </c>
      <c r="U4" s="30">
        <v>20</v>
      </c>
      <c r="V4" s="30">
        <v>21</v>
      </c>
      <c r="W4" s="29">
        <v>22</v>
      </c>
      <c r="X4" s="29">
        <v>23</v>
      </c>
      <c r="Y4" s="30">
        <v>24</v>
      </c>
      <c r="Z4" s="30">
        <v>25</v>
      </c>
      <c r="AA4" s="30">
        <v>26</v>
      </c>
      <c r="AB4" s="30">
        <v>27</v>
      </c>
      <c r="AC4" s="30">
        <v>28</v>
      </c>
      <c r="AD4" s="29">
        <v>29</v>
      </c>
      <c r="AE4" s="29">
        <v>30</v>
      </c>
      <c r="AF4" s="30">
        <v>31</v>
      </c>
      <c r="AG4" s="119"/>
      <c r="AH4" s="119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8.75" customHeight="1" x14ac:dyDescent="0.25">
      <c r="A5" s="6" t="s">
        <v>157</v>
      </c>
      <c r="B5" s="126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7"/>
      <c r="AG5" s="120"/>
      <c r="AH5" s="120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5.75" customHeight="1" x14ac:dyDescent="0.25">
      <c r="A6" s="5" t="s">
        <v>39</v>
      </c>
      <c r="B6" s="31"/>
      <c r="C6" s="31"/>
      <c r="D6" s="32"/>
      <c r="E6" s="32"/>
      <c r="F6" s="32" t="s">
        <v>83</v>
      </c>
      <c r="G6" s="32"/>
      <c r="H6" s="32"/>
      <c r="I6" s="31"/>
      <c r="J6" s="31"/>
      <c r="K6" s="32"/>
      <c r="L6" s="32"/>
      <c r="M6" s="32"/>
      <c r="N6" s="32"/>
      <c r="O6" s="32" t="s">
        <v>82</v>
      </c>
      <c r="P6" s="31" t="s">
        <v>81</v>
      </c>
      <c r="Q6" s="33"/>
      <c r="R6" s="34"/>
      <c r="S6" s="32" t="s">
        <v>82</v>
      </c>
      <c r="T6" s="32"/>
      <c r="U6" s="32"/>
      <c r="V6" s="32"/>
      <c r="W6" s="31"/>
      <c r="X6" s="33"/>
      <c r="Y6" s="34"/>
      <c r="Z6" s="32"/>
      <c r="AA6" s="32"/>
      <c r="AB6" s="32" t="s">
        <v>81</v>
      </c>
      <c r="AC6" s="32"/>
      <c r="AD6" s="31"/>
      <c r="AE6" s="33"/>
      <c r="AF6" s="34"/>
      <c r="AG6" s="13">
        <f>COUNTIF(B6:AF6,"P")</f>
        <v>2</v>
      </c>
      <c r="AH6" s="13">
        <f>COUNTIF(B6:AF6,"S")</f>
        <v>1</v>
      </c>
      <c r="AI6" s="4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75" customHeight="1" x14ac:dyDescent="0.25">
      <c r="A7" s="5" t="s">
        <v>158</v>
      </c>
      <c r="B7" s="31"/>
      <c r="C7" s="31"/>
      <c r="D7" s="32"/>
      <c r="E7" s="32"/>
      <c r="F7" s="32"/>
      <c r="G7" s="32"/>
      <c r="H7" s="32"/>
      <c r="I7" s="31" t="s">
        <v>82</v>
      </c>
      <c r="J7" s="31"/>
      <c r="K7" s="32"/>
      <c r="L7" s="32"/>
      <c r="M7" s="32"/>
      <c r="N7" s="32"/>
      <c r="O7" s="32"/>
      <c r="P7" s="31" t="s">
        <v>81</v>
      </c>
      <c r="Q7" s="33"/>
      <c r="R7" s="34"/>
      <c r="S7" s="32"/>
      <c r="T7" s="32"/>
      <c r="U7" s="32"/>
      <c r="V7" s="32"/>
      <c r="W7" s="31"/>
      <c r="X7" s="33"/>
      <c r="Y7" s="34"/>
      <c r="Z7" s="32"/>
      <c r="AA7" s="32" t="s">
        <v>82</v>
      </c>
      <c r="AB7" s="32" t="s">
        <v>81</v>
      </c>
      <c r="AC7" s="32" t="s">
        <v>82</v>
      </c>
      <c r="AD7" s="31"/>
      <c r="AE7" s="33"/>
      <c r="AF7" s="34"/>
      <c r="AG7" s="13">
        <f>(COUNTIF(B7:AC7,"P"))</f>
        <v>3</v>
      </c>
      <c r="AH7" s="13">
        <f>(COUNTIF(B7:AC7,"S"))</f>
        <v>0</v>
      </c>
      <c r="AI7" s="4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75" customHeight="1" x14ac:dyDescent="0.25">
      <c r="A8" s="5" t="s">
        <v>159</v>
      </c>
      <c r="B8" s="31"/>
      <c r="C8" s="31"/>
      <c r="D8" s="32"/>
      <c r="E8" s="32"/>
      <c r="F8" s="32"/>
      <c r="G8" s="32"/>
      <c r="H8" s="32"/>
      <c r="I8" s="31"/>
      <c r="J8" s="31"/>
      <c r="K8" s="32"/>
      <c r="L8" s="32" t="s">
        <v>83</v>
      </c>
      <c r="M8" s="32"/>
      <c r="N8" s="32"/>
      <c r="O8" s="32"/>
      <c r="P8" s="31" t="s">
        <v>81</v>
      </c>
      <c r="Q8" s="33"/>
      <c r="R8" s="34"/>
      <c r="S8" s="32"/>
      <c r="T8" s="32"/>
      <c r="U8" s="32"/>
      <c r="V8" s="32"/>
      <c r="W8" s="31"/>
      <c r="X8" s="33"/>
      <c r="Y8" s="34"/>
      <c r="Z8" s="32"/>
      <c r="AA8" s="32"/>
      <c r="AB8" s="32" t="s">
        <v>81</v>
      </c>
      <c r="AC8" s="32" t="s">
        <v>82</v>
      </c>
      <c r="AD8" s="31" t="s">
        <v>82</v>
      </c>
      <c r="AE8" s="33"/>
      <c r="AF8" s="34"/>
      <c r="AG8" s="13">
        <f>(COUNTIF(B8:AD8,"P"))</f>
        <v>2</v>
      </c>
      <c r="AH8" s="13">
        <f>(COUNTIF(B8:AC8,"S"))</f>
        <v>1</v>
      </c>
      <c r="AI8" s="4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75" customHeight="1" x14ac:dyDescent="0.25">
      <c r="A9" s="5" t="s">
        <v>160</v>
      </c>
      <c r="B9" s="31"/>
      <c r="C9" s="31"/>
      <c r="D9" s="32"/>
      <c r="E9" s="32"/>
      <c r="F9" s="32"/>
      <c r="G9" s="32"/>
      <c r="H9" s="32"/>
      <c r="I9" s="31"/>
      <c r="J9" s="31"/>
      <c r="K9" s="32"/>
      <c r="L9" s="32"/>
      <c r="M9" s="32"/>
      <c r="N9" s="32"/>
      <c r="O9" s="32"/>
      <c r="P9" s="31" t="s">
        <v>81</v>
      </c>
      <c r="Q9" s="33"/>
      <c r="R9" s="34"/>
      <c r="S9" s="32"/>
      <c r="T9" s="32"/>
      <c r="U9" s="32"/>
      <c r="V9" s="32"/>
      <c r="W9" s="31" t="s">
        <v>82</v>
      </c>
      <c r="X9" s="33"/>
      <c r="Y9" s="34"/>
      <c r="Z9" s="32"/>
      <c r="AA9" s="32"/>
      <c r="AB9" s="32" t="s">
        <v>81</v>
      </c>
      <c r="AC9" s="32"/>
      <c r="AD9" s="31" t="s">
        <v>82</v>
      </c>
      <c r="AE9" s="33"/>
      <c r="AF9" s="34"/>
      <c r="AG9" s="13">
        <f>(COUNTIF(B9:AC9,"P"))</f>
        <v>1</v>
      </c>
      <c r="AH9" s="13">
        <f>(COUNTIF(B9:AC9,"S"))</f>
        <v>0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.75" customHeight="1" x14ac:dyDescent="0.25">
      <c r="A10" s="5" t="s">
        <v>161</v>
      </c>
      <c r="B10" s="10"/>
      <c r="C10" s="11"/>
      <c r="D10" s="11"/>
      <c r="E10" s="10"/>
      <c r="F10" s="10"/>
      <c r="G10" s="10"/>
      <c r="H10" s="10"/>
      <c r="I10" s="10"/>
      <c r="J10" s="11"/>
      <c r="K10" s="11"/>
      <c r="L10" s="10"/>
      <c r="M10" s="10"/>
      <c r="N10" s="10"/>
      <c r="O10" s="10"/>
      <c r="P10" s="10" t="s">
        <v>81</v>
      </c>
      <c r="Q10" s="12"/>
      <c r="R10" s="12"/>
      <c r="S10" s="10" t="s">
        <v>82</v>
      </c>
      <c r="T10" s="10" t="s">
        <v>82</v>
      </c>
      <c r="U10" s="10" t="s">
        <v>82</v>
      </c>
      <c r="V10" s="10" t="s">
        <v>82</v>
      </c>
      <c r="W10" s="10" t="s">
        <v>82</v>
      </c>
      <c r="X10" s="12"/>
      <c r="Y10" s="12"/>
      <c r="Z10" s="10" t="s">
        <v>82</v>
      </c>
      <c r="AA10" s="10" t="s">
        <v>82</v>
      </c>
      <c r="AB10" s="10" t="s">
        <v>82</v>
      </c>
      <c r="AC10" s="10" t="s">
        <v>82</v>
      </c>
      <c r="AD10" s="10" t="s">
        <v>82</v>
      </c>
      <c r="AE10" s="12"/>
      <c r="AF10" s="12"/>
      <c r="AG10" s="13">
        <f>(COUNTIF(B10:AC10,"P"))</f>
        <v>9</v>
      </c>
      <c r="AH10" s="13">
        <f>(COUNTIF(B10:AC10,"S"))</f>
        <v>0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.75" customHeight="1" x14ac:dyDescent="0.25">
      <c r="A12" s="118" t="s">
        <v>84</v>
      </c>
      <c r="B12" s="118" t="s">
        <v>85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.75" customHeight="1" x14ac:dyDescent="0.25">
      <c r="A13" s="119"/>
      <c r="B13" s="11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.75" customHeight="1" x14ac:dyDescent="0.25">
      <c r="A14" s="120"/>
      <c r="B14" s="12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.75" customHeight="1" x14ac:dyDescent="0.25">
      <c r="A15" s="7" t="s">
        <v>86</v>
      </c>
      <c r="B15" s="8" t="s">
        <v>82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.75" customHeight="1" x14ac:dyDescent="0.25">
      <c r="A16" s="9" t="s">
        <v>87</v>
      </c>
      <c r="B16" s="8" t="s">
        <v>83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.75" customHeight="1" x14ac:dyDescent="0.25">
      <c r="A17" s="14" t="s">
        <v>88</v>
      </c>
      <c r="B17" s="8" t="s">
        <v>81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</sheetData>
  <sheetProtection algorithmName="SHA-512" hashValue="j2bImXt/l3OKw600aMZx7X0e61g3cwdQIjn/wYHugXav4sV/7pzULCNdVBAlJmJS2ihV8NPA6Q+f62i0jP4crQ==" saltValue="ZNhaZ0igRZoluki1Zc7T6A==" spinCount="100000" sheet="1" objects="1" scenarios="1"/>
  <mergeCells count="7">
    <mergeCell ref="A1:AH2"/>
    <mergeCell ref="A12:A14"/>
    <mergeCell ref="AH3:AH5"/>
    <mergeCell ref="B12:B14"/>
    <mergeCell ref="A3:A4"/>
    <mergeCell ref="B5:AF5"/>
    <mergeCell ref="AG3:AG5"/>
  </mergeCells>
  <conditionalFormatting sqref="B6:AF9">
    <cfRule type="cellIs" dxfId="28" priority="4" operator="equal">
      <formula>"H"</formula>
    </cfRule>
  </conditionalFormatting>
  <conditionalFormatting sqref="B6:AF10">
    <cfRule type="cellIs" dxfId="27" priority="1" operator="equal">
      <formula>"S"</formula>
    </cfRule>
    <cfRule type="cellIs" dxfId="26" priority="2" operator="equal">
      <formula>"P"</formula>
    </cfRule>
    <cfRule type="cellIs" dxfId="25" priority="3" operator="equal">
      <formula>"H"</formula>
    </cfRule>
  </conditionalFormatting>
  <dataValidations count="1">
    <dataValidation type="list" allowBlank="1" showInputMessage="1" showErrorMessage="1" sqref="B6:B10 C6:D8 E6:I10 J6:AF8 L9:AF10" xr:uid="{00000000-0002-0000-0600-000000000000}">
      <formula1>$B$15:$B$17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AY132"/>
  <sheetViews>
    <sheetView topLeftCell="K1" workbookViewId="0">
      <selection activeCell="Y24" sqref="Y24"/>
    </sheetView>
  </sheetViews>
  <sheetFormatPr defaultRowHeight="15" x14ac:dyDescent="0.25"/>
  <cols>
    <col min="1" max="1" width="26.7109375" bestFit="1" customWidth="1"/>
    <col min="2" max="2" width="5.5703125" bestFit="1" customWidth="1"/>
    <col min="3" max="3" width="4.5703125" bestFit="1" customWidth="1"/>
    <col min="4" max="4" width="5.5703125" bestFit="1" customWidth="1"/>
    <col min="5" max="5" width="4.7109375" bestFit="1" customWidth="1"/>
    <col min="6" max="6" width="3.5703125" bestFit="1" customWidth="1"/>
    <col min="7" max="7" width="4" bestFit="1" customWidth="1"/>
    <col min="8" max="8" width="4.5703125" bestFit="1" customWidth="1"/>
    <col min="9" max="9" width="5.5703125" bestFit="1" customWidth="1"/>
    <col min="10" max="10" width="4.5703125" bestFit="1" customWidth="1"/>
    <col min="11" max="11" width="5.5703125" bestFit="1" customWidth="1"/>
    <col min="12" max="12" width="4.7109375" bestFit="1" customWidth="1"/>
    <col min="13" max="13" width="3.5703125" bestFit="1" customWidth="1"/>
    <col min="14" max="14" width="4" bestFit="1" customWidth="1"/>
    <col min="15" max="15" width="4.5703125" bestFit="1" customWidth="1"/>
    <col min="16" max="16" width="5.5703125" bestFit="1" customWidth="1"/>
    <col min="17" max="17" width="4.5703125" bestFit="1" customWidth="1"/>
    <col min="18" max="18" width="5.5703125" bestFit="1" customWidth="1"/>
    <col min="19" max="19" width="4.7109375" bestFit="1" customWidth="1"/>
    <col min="20" max="20" width="3.5703125" bestFit="1" customWidth="1"/>
    <col min="21" max="21" width="4" bestFit="1" customWidth="1"/>
    <col min="22" max="22" width="4.5703125" bestFit="1" customWidth="1"/>
    <col min="23" max="23" width="5.5703125" bestFit="1" customWidth="1"/>
    <col min="24" max="24" width="4.5703125" bestFit="1" customWidth="1"/>
    <col min="25" max="25" width="5.5703125" bestFit="1" customWidth="1"/>
    <col min="26" max="26" width="4.7109375" bestFit="1" customWidth="1"/>
    <col min="27" max="27" width="3.5703125" bestFit="1" customWidth="1"/>
    <col min="28" max="28" width="4" bestFit="1" customWidth="1"/>
    <col min="29" max="29" width="4.5703125" bestFit="1" customWidth="1"/>
    <col min="30" max="30" width="5.5703125" bestFit="1" customWidth="1"/>
    <col min="31" max="31" width="4.5703125" bestFit="1" customWidth="1"/>
  </cols>
  <sheetData>
    <row r="1" spans="1:51" ht="15.75" customHeight="1" x14ac:dyDescent="0.25">
      <c r="A1" s="112" t="s">
        <v>163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4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15.75" customHeight="1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7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15.75" customHeight="1" x14ac:dyDescent="0.25">
      <c r="A3" s="122" t="s">
        <v>156</v>
      </c>
      <c r="B3" s="28" t="s">
        <v>49</v>
      </c>
      <c r="C3" s="28" t="s">
        <v>50</v>
      </c>
      <c r="D3" s="28" t="s">
        <v>51</v>
      </c>
      <c r="E3" s="28" t="s">
        <v>52</v>
      </c>
      <c r="F3" s="27" t="s">
        <v>53</v>
      </c>
      <c r="G3" s="27" t="s">
        <v>47</v>
      </c>
      <c r="H3" s="28" t="s">
        <v>48</v>
      </c>
      <c r="I3" s="28" t="s">
        <v>49</v>
      </c>
      <c r="J3" s="28" t="s">
        <v>50</v>
      </c>
      <c r="K3" s="28" t="s">
        <v>51</v>
      </c>
      <c r="L3" s="28" t="s">
        <v>52</v>
      </c>
      <c r="M3" s="27" t="s">
        <v>53</v>
      </c>
      <c r="N3" s="27" t="s">
        <v>47</v>
      </c>
      <c r="O3" s="28" t="s">
        <v>48</v>
      </c>
      <c r="P3" s="28" t="s">
        <v>49</v>
      </c>
      <c r="Q3" s="28" t="s">
        <v>50</v>
      </c>
      <c r="R3" s="28" t="s">
        <v>51</v>
      </c>
      <c r="S3" s="28" t="s">
        <v>52</v>
      </c>
      <c r="T3" s="27" t="s">
        <v>53</v>
      </c>
      <c r="U3" s="27" t="s">
        <v>47</v>
      </c>
      <c r="V3" s="28" t="s">
        <v>48</v>
      </c>
      <c r="W3" s="28" t="s">
        <v>49</v>
      </c>
      <c r="X3" s="28" t="s">
        <v>50</v>
      </c>
      <c r="Y3" s="28" t="s">
        <v>51</v>
      </c>
      <c r="Z3" s="28" t="s">
        <v>52</v>
      </c>
      <c r="AA3" s="27" t="s">
        <v>53</v>
      </c>
      <c r="AB3" s="27" t="s">
        <v>47</v>
      </c>
      <c r="AC3" s="28" t="s">
        <v>48</v>
      </c>
      <c r="AD3" s="28" t="s">
        <v>49</v>
      </c>
      <c r="AE3" s="28" t="s">
        <v>50</v>
      </c>
      <c r="AF3" s="123"/>
      <c r="AG3" s="121" t="s">
        <v>55</v>
      </c>
      <c r="AH3" s="16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ht="15.75" customHeight="1" x14ac:dyDescent="0.25">
      <c r="A4" s="120"/>
      <c r="B4" s="30">
        <v>1</v>
      </c>
      <c r="C4" s="30">
        <v>2</v>
      </c>
      <c r="D4" s="30">
        <v>3</v>
      </c>
      <c r="E4" s="30">
        <v>4</v>
      </c>
      <c r="F4" s="29">
        <v>5</v>
      </c>
      <c r="G4" s="29">
        <v>6</v>
      </c>
      <c r="H4" s="30">
        <v>7</v>
      </c>
      <c r="I4" s="30">
        <v>8</v>
      </c>
      <c r="J4" s="30">
        <v>9</v>
      </c>
      <c r="K4" s="30">
        <v>10</v>
      </c>
      <c r="L4" s="30">
        <v>11</v>
      </c>
      <c r="M4" s="29">
        <v>12</v>
      </c>
      <c r="N4" s="29">
        <v>13</v>
      </c>
      <c r="O4" s="30">
        <v>14</v>
      </c>
      <c r="P4" s="30">
        <v>15</v>
      </c>
      <c r="Q4" s="30">
        <v>16</v>
      </c>
      <c r="R4" s="30">
        <v>17</v>
      </c>
      <c r="S4" s="30">
        <v>18</v>
      </c>
      <c r="T4" s="29">
        <v>19</v>
      </c>
      <c r="U4" s="29">
        <v>20</v>
      </c>
      <c r="V4" s="30">
        <v>21</v>
      </c>
      <c r="W4" s="30">
        <v>22</v>
      </c>
      <c r="X4" s="30">
        <v>23</v>
      </c>
      <c r="Y4" s="30">
        <v>24</v>
      </c>
      <c r="Z4" s="30">
        <v>25</v>
      </c>
      <c r="AA4" s="29">
        <v>26</v>
      </c>
      <c r="AB4" s="29">
        <v>27</v>
      </c>
      <c r="AC4" s="30">
        <v>28</v>
      </c>
      <c r="AD4" s="30">
        <v>29</v>
      </c>
      <c r="AE4" s="30">
        <v>30</v>
      </c>
      <c r="AF4" s="119"/>
      <c r="AG4" s="119"/>
      <c r="AH4" s="3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ht="18.75" customHeight="1" x14ac:dyDescent="0.25">
      <c r="A5" s="6" t="s">
        <v>157</v>
      </c>
      <c r="B5" s="124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0"/>
      <c r="AG5" s="120"/>
      <c r="AH5" s="3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ht="15.75" customHeight="1" x14ac:dyDescent="0.25">
      <c r="A6" s="5" t="s">
        <v>39</v>
      </c>
      <c r="B6" s="32"/>
      <c r="C6" s="32"/>
      <c r="D6" s="32"/>
      <c r="E6" s="32"/>
      <c r="F6" s="31"/>
      <c r="G6" s="31"/>
      <c r="H6" s="32"/>
      <c r="I6" s="32"/>
      <c r="J6" s="32"/>
      <c r="K6" s="32"/>
      <c r="L6" s="32"/>
      <c r="M6" s="31"/>
      <c r="N6" s="31"/>
      <c r="O6" s="32"/>
      <c r="P6" s="32"/>
      <c r="Q6" s="32"/>
      <c r="R6" s="32"/>
      <c r="S6" s="32"/>
      <c r="T6" s="31"/>
      <c r="U6" s="33"/>
      <c r="V6" s="34"/>
      <c r="W6" s="32"/>
      <c r="X6" s="32"/>
      <c r="Y6" s="32"/>
      <c r="Z6" s="32"/>
      <c r="AA6" s="31"/>
      <c r="AB6" s="33"/>
      <c r="AC6" s="34"/>
      <c r="AD6" s="32"/>
      <c r="AE6" s="32"/>
      <c r="AF6" s="13">
        <f t="shared" ref="AF6:AF18" si="0">(COUNTIF(B6:AE6,"P"))</f>
        <v>0</v>
      </c>
      <c r="AG6" s="13">
        <f>COUNTIF(B6:AF6,"P")</f>
        <v>0</v>
      </c>
      <c r="AH6" s="4">
        <f>COUNTIF(B6:AF6,"S")</f>
        <v>0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ht="15.75" customHeight="1" x14ac:dyDescent="0.25">
      <c r="A7" s="5" t="s">
        <v>158</v>
      </c>
      <c r="B7" s="32"/>
      <c r="C7" s="32"/>
      <c r="D7" s="32"/>
      <c r="E7" s="32"/>
      <c r="F7" s="31"/>
      <c r="G7" s="31"/>
      <c r="H7" s="32"/>
      <c r="I7" s="32"/>
      <c r="J7" s="32"/>
      <c r="K7" s="32"/>
      <c r="L7" s="32"/>
      <c r="M7" s="31"/>
      <c r="N7" s="31"/>
      <c r="O7" s="32"/>
      <c r="P7" s="32"/>
      <c r="Q7" s="32"/>
      <c r="R7" s="32"/>
      <c r="S7" s="32"/>
      <c r="T7" s="31"/>
      <c r="U7" s="33"/>
      <c r="V7" s="34"/>
      <c r="W7" s="32"/>
      <c r="X7" s="32"/>
      <c r="Y7" s="32"/>
      <c r="Z7" s="32"/>
      <c r="AA7" s="31"/>
      <c r="AB7" s="33"/>
      <c r="AC7" s="34"/>
      <c r="AD7" s="32"/>
      <c r="AE7" s="32"/>
      <c r="AF7" s="13">
        <f t="shared" si="0"/>
        <v>0</v>
      </c>
      <c r="AG7" s="13">
        <f t="shared" ref="AG7:AG18" si="1">(COUNTIF(B7:AE7,"S"))</f>
        <v>0</v>
      </c>
      <c r="AH7" s="4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ht="15.75" customHeight="1" x14ac:dyDescent="0.25">
      <c r="A8" s="5" t="s">
        <v>159</v>
      </c>
      <c r="B8" s="32"/>
      <c r="C8" s="32"/>
      <c r="D8" s="32"/>
      <c r="E8" s="32"/>
      <c r="F8" s="31"/>
      <c r="G8" s="31"/>
      <c r="H8" s="32"/>
      <c r="I8" s="32"/>
      <c r="J8" s="32"/>
      <c r="K8" s="32"/>
      <c r="L8" s="32"/>
      <c r="M8" s="31"/>
      <c r="N8" s="31"/>
      <c r="O8" s="32"/>
      <c r="P8" s="32"/>
      <c r="Q8" s="32"/>
      <c r="R8" s="32"/>
      <c r="S8" s="32"/>
      <c r="T8" s="31"/>
      <c r="U8" s="33"/>
      <c r="V8" s="34"/>
      <c r="W8" s="32"/>
      <c r="X8" s="32"/>
      <c r="Y8" s="32"/>
      <c r="Z8" s="32"/>
      <c r="AA8" s="31"/>
      <c r="AB8" s="33"/>
      <c r="AC8" s="34"/>
      <c r="AD8" s="32"/>
      <c r="AE8" s="32"/>
      <c r="AF8" s="13">
        <f t="shared" si="0"/>
        <v>0</v>
      </c>
      <c r="AG8" s="13">
        <f t="shared" si="1"/>
        <v>0</v>
      </c>
      <c r="AH8" s="4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ht="15.75" customHeight="1" x14ac:dyDescent="0.25">
      <c r="A9" s="5" t="s">
        <v>161</v>
      </c>
      <c r="B9" s="32"/>
      <c r="C9" s="32"/>
      <c r="D9" s="32"/>
      <c r="E9" s="32"/>
      <c r="F9" s="31"/>
      <c r="G9" s="31"/>
      <c r="H9" s="32"/>
      <c r="I9" s="32"/>
      <c r="J9" s="32"/>
      <c r="K9" s="32"/>
      <c r="L9" s="32"/>
      <c r="M9" s="31"/>
      <c r="N9" s="31"/>
      <c r="O9" s="32"/>
      <c r="P9" s="32"/>
      <c r="Q9" s="32"/>
      <c r="R9" s="32"/>
      <c r="S9" s="32"/>
      <c r="T9" s="31"/>
      <c r="U9" s="33"/>
      <c r="V9" s="34"/>
      <c r="W9" s="32"/>
      <c r="X9" s="32"/>
      <c r="Y9" s="32"/>
      <c r="Z9" s="32"/>
      <c r="AA9" s="31"/>
      <c r="AB9" s="33"/>
      <c r="AC9" s="34"/>
      <c r="AD9" s="32"/>
      <c r="AE9" s="32"/>
      <c r="AF9" s="13">
        <f t="shared" si="0"/>
        <v>0</v>
      </c>
      <c r="AG9" s="13">
        <f t="shared" si="1"/>
        <v>0</v>
      </c>
      <c r="AH9" s="4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ht="15.75" customHeight="1" x14ac:dyDescent="0.25">
      <c r="A10" s="5" t="s">
        <v>160</v>
      </c>
      <c r="B10" s="10" t="s">
        <v>82</v>
      </c>
      <c r="C10" s="10"/>
      <c r="D10" s="10"/>
      <c r="F10" s="10"/>
      <c r="G10" s="11"/>
      <c r="H10" s="11"/>
      <c r="I10" s="10"/>
      <c r="J10" s="10"/>
      <c r="K10" s="10" t="s">
        <v>82</v>
      </c>
      <c r="L10" s="10"/>
      <c r="M10" s="10"/>
      <c r="N10" s="11"/>
      <c r="O10" s="11"/>
      <c r="P10" s="10"/>
      <c r="Q10" s="10"/>
      <c r="R10" s="10"/>
      <c r="S10" s="10"/>
      <c r="T10" s="10"/>
      <c r="U10" s="12"/>
      <c r="V10" s="12"/>
      <c r="W10" s="10"/>
      <c r="X10" s="10"/>
      <c r="Y10" s="10"/>
      <c r="Z10" s="10"/>
      <c r="AA10" s="10"/>
      <c r="AB10" s="12"/>
      <c r="AC10" s="12"/>
      <c r="AD10" s="10"/>
      <c r="AE10" s="10"/>
      <c r="AF10" s="13">
        <f t="shared" si="0"/>
        <v>2</v>
      </c>
      <c r="AG10" s="13">
        <f t="shared" si="1"/>
        <v>0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ht="15.75" customHeight="1" x14ac:dyDescent="0.25">
      <c r="A11" s="5" t="s">
        <v>164</v>
      </c>
      <c r="B11" s="10"/>
      <c r="C11" s="10"/>
      <c r="D11" s="10"/>
      <c r="E11" s="10"/>
      <c r="F11" s="10"/>
      <c r="G11" s="11"/>
      <c r="H11" s="11"/>
      <c r="I11" s="10"/>
      <c r="J11" s="10"/>
      <c r="K11" s="10"/>
      <c r="L11" s="10"/>
      <c r="M11" s="10"/>
      <c r="N11" s="11"/>
      <c r="O11" s="11"/>
      <c r="P11" s="10"/>
      <c r="Q11" s="10"/>
      <c r="R11" s="10"/>
      <c r="S11" s="10"/>
      <c r="T11" s="10"/>
      <c r="U11" s="12"/>
      <c r="V11" s="12"/>
      <c r="W11" s="10"/>
      <c r="X11" s="10"/>
      <c r="Y11" s="10"/>
      <c r="Z11" s="10"/>
      <c r="AA11" s="10" t="s">
        <v>83</v>
      </c>
      <c r="AB11" s="12"/>
      <c r="AC11" s="12"/>
      <c r="AD11" s="10"/>
      <c r="AE11" s="10"/>
      <c r="AF11" s="13">
        <f t="shared" si="0"/>
        <v>0</v>
      </c>
      <c r="AG11" s="13">
        <f t="shared" si="1"/>
        <v>1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ht="15.75" customHeight="1" x14ac:dyDescent="0.25">
      <c r="A12" s="5" t="s">
        <v>165</v>
      </c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10"/>
      <c r="N12" s="11"/>
      <c r="O12" s="11"/>
      <c r="P12" s="10"/>
      <c r="Q12" s="10"/>
      <c r="R12" s="10"/>
      <c r="S12" s="10"/>
      <c r="T12" s="10"/>
      <c r="U12" s="12"/>
      <c r="V12" s="12"/>
      <c r="W12" s="10"/>
      <c r="X12" s="10"/>
      <c r="Y12" s="10"/>
      <c r="Z12" s="10"/>
      <c r="AA12" s="10"/>
      <c r="AB12" s="12"/>
      <c r="AC12" s="12"/>
      <c r="AD12" s="10"/>
      <c r="AE12" s="10"/>
      <c r="AF12" s="13">
        <f t="shared" si="0"/>
        <v>0</v>
      </c>
      <c r="AG12" s="13">
        <f t="shared" si="1"/>
        <v>0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ht="15.75" customHeight="1" x14ac:dyDescent="0.25">
      <c r="A13" s="5" t="s">
        <v>166</v>
      </c>
      <c r="B13" s="10"/>
      <c r="C13" s="10"/>
      <c r="D13" s="10"/>
      <c r="E13" s="10" t="s">
        <v>82</v>
      </c>
      <c r="F13" s="10" t="s">
        <v>82</v>
      </c>
      <c r="G13" s="11"/>
      <c r="H13" s="11"/>
      <c r="I13" s="10"/>
      <c r="J13" s="10"/>
      <c r="K13" s="10"/>
      <c r="L13" s="10"/>
      <c r="M13" s="10"/>
      <c r="N13" s="11"/>
      <c r="O13" s="11"/>
      <c r="P13" s="10"/>
      <c r="Q13" s="10"/>
      <c r="R13" s="10"/>
      <c r="S13" s="10"/>
      <c r="T13" s="10"/>
      <c r="U13" s="12"/>
      <c r="V13" s="12"/>
      <c r="W13" s="10"/>
      <c r="X13" s="10"/>
      <c r="Y13" s="10"/>
      <c r="Z13" s="10"/>
      <c r="AA13" s="10"/>
      <c r="AB13" s="12"/>
      <c r="AC13" s="12"/>
      <c r="AD13" s="10"/>
      <c r="AE13" s="10"/>
      <c r="AF13" s="13">
        <f t="shared" si="0"/>
        <v>2</v>
      </c>
      <c r="AG13" s="13">
        <f t="shared" si="1"/>
        <v>0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ht="15.75" customHeight="1" x14ac:dyDescent="0.25">
      <c r="A14" s="5" t="s">
        <v>167</v>
      </c>
      <c r="B14" s="10"/>
      <c r="C14" s="10"/>
      <c r="D14" s="10"/>
      <c r="E14" s="10"/>
      <c r="F14" s="10"/>
      <c r="G14" s="11"/>
      <c r="H14" s="11"/>
      <c r="I14" s="10"/>
      <c r="J14" s="10"/>
      <c r="K14" s="10"/>
      <c r="L14" s="10"/>
      <c r="M14" s="10"/>
      <c r="N14" s="11"/>
      <c r="O14" s="11"/>
      <c r="P14" s="10"/>
      <c r="Q14" s="10"/>
      <c r="R14" s="10"/>
      <c r="S14" s="10"/>
      <c r="T14" s="10"/>
      <c r="U14" s="12"/>
      <c r="V14" s="12"/>
      <c r="W14" s="10" t="s">
        <v>83</v>
      </c>
      <c r="X14" s="10"/>
      <c r="Y14" s="10"/>
      <c r="Z14" s="10"/>
      <c r="AA14" s="10"/>
      <c r="AB14" s="12"/>
      <c r="AC14" s="12"/>
      <c r="AD14" s="10"/>
      <c r="AE14" s="10"/>
      <c r="AF14" s="13">
        <f t="shared" si="0"/>
        <v>0</v>
      </c>
      <c r="AG14" s="13">
        <f t="shared" si="1"/>
        <v>1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ht="15.75" customHeight="1" x14ac:dyDescent="0.25">
      <c r="A15" s="5" t="s">
        <v>168</v>
      </c>
      <c r="B15" s="10"/>
      <c r="C15" s="10"/>
      <c r="D15" s="10"/>
      <c r="E15" s="10"/>
      <c r="F15" s="10"/>
      <c r="G15" s="11"/>
      <c r="H15" s="11"/>
      <c r="I15" s="10"/>
      <c r="J15" s="10"/>
      <c r="K15" s="10"/>
      <c r="L15" s="10"/>
      <c r="M15" s="10"/>
      <c r="N15" s="11"/>
      <c r="O15" s="11"/>
      <c r="P15" s="10"/>
      <c r="Q15" s="10"/>
      <c r="R15" s="10"/>
      <c r="S15" s="10"/>
      <c r="T15" s="10"/>
      <c r="U15" s="12"/>
      <c r="V15" s="12"/>
      <c r="W15" s="10"/>
      <c r="X15" s="10"/>
      <c r="Y15" s="10"/>
      <c r="Z15" s="10"/>
      <c r="AA15" s="10"/>
      <c r="AB15" s="12"/>
      <c r="AC15" s="12"/>
      <c r="AD15" s="10"/>
      <c r="AE15" s="10"/>
      <c r="AF15" s="13">
        <f t="shared" si="0"/>
        <v>0</v>
      </c>
      <c r="AG15" s="13">
        <f t="shared" si="1"/>
        <v>0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ht="15.75" customHeight="1" x14ac:dyDescent="0.25">
      <c r="A16" s="5" t="s">
        <v>169</v>
      </c>
      <c r="B16" s="10"/>
      <c r="C16" s="10"/>
      <c r="D16" s="10"/>
      <c r="E16" s="10"/>
      <c r="F16" s="10"/>
      <c r="G16" s="11"/>
      <c r="H16" s="11"/>
      <c r="I16" s="10"/>
      <c r="J16" s="10"/>
      <c r="K16" s="10"/>
      <c r="L16" s="10"/>
      <c r="M16" s="10"/>
      <c r="N16" s="11"/>
      <c r="O16" s="11"/>
      <c r="P16" s="10"/>
      <c r="Q16" s="10"/>
      <c r="R16" s="10"/>
      <c r="S16" s="10"/>
      <c r="T16" s="10"/>
      <c r="U16" s="12"/>
      <c r="V16" s="12"/>
      <c r="W16" s="10"/>
      <c r="X16" s="10"/>
      <c r="Y16" s="10"/>
      <c r="Z16" s="10"/>
      <c r="AA16" s="10"/>
      <c r="AB16" s="12"/>
      <c r="AC16" s="12"/>
      <c r="AD16" s="10" t="s">
        <v>82</v>
      </c>
      <c r="AE16" s="10" t="s">
        <v>82</v>
      </c>
      <c r="AF16" s="13">
        <f t="shared" si="0"/>
        <v>2</v>
      </c>
      <c r="AG16" s="13">
        <f t="shared" si="1"/>
        <v>0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ht="15.75" customHeight="1" x14ac:dyDescent="0.25">
      <c r="A17" s="5" t="s">
        <v>170</v>
      </c>
      <c r="B17" s="10"/>
      <c r="C17" s="10"/>
      <c r="D17" s="10"/>
      <c r="E17" s="10"/>
      <c r="F17" s="10"/>
      <c r="G17" s="11"/>
      <c r="H17" s="11"/>
      <c r="I17" s="10"/>
      <c r="J17" s="10"/>
      <c r="K17" s="10"/>
      <c r="L17" s="10"/>
      <c r="M17" s="10"/>
      <c r="N17" s="11"/>
      <c r="O17" s="11"/>
      <c r="P17" s="10"/>
      <c r="Q17" s="10"/>
      <c r="R17" s="10"/>
      <c r="S17" s="10"/>
      <c r="T17" s="10"/>
      <c r="U17" s="12"/>
      <c r="V17" s="12"/>
      <c r="W17" s="10"/>
      <c r="X17" s="10"/>
      <c r="Y17" s="10"/>
      <c r="Z17" s="10"/>
      <c r="AA17" s="10"/>
      <c r="AB17" s="12"/>
      <c r="AC17" s="12"/>
      <c r="AD17" s="10"/>
      <c r="AE17" s="10"/>
      <c r="AF17" s="13">
        <f t="shared" si="0"/>
        <v>0</v>
      </c>
      <c r="AG17" s="13">
        <f t="shared" si="1"/>
        <v>0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1:51" ht="15.75" customHeight="1" x14ac:dyDescent="0.25">
      <c r="A18" s="5" t="s">
        <v>171</v>
      </c>
      <c r="B18" s="10"/>
      <c r="C18" s="10"/>
      <c r="D18" s="10"/>
      <c r="E18" s="10"/>
      <c r="F18" s="10"/>
      <c r="G18" s="11"/>
      <c r="H18" s="11"/>
      <c r="I18" s="10" t="s">
        <v>83</v>
      </c>
      <c r="J18" s="10"/>
      <c r="K18" s="10"/>
      <c r="L18" s="10"/>
      <c r="M18" s="10"/>
      <c r="N18" s="11"/>
      <c r="O18" s="11"/>
      <c r="P18" s="10"/>
      <c r="Q18" s="10"/>
      <c r="R18" s="10"/>
      <c r="S18" s="10"/>
      <c r="T18" s="10"/>
      <c r="U18" s="12"/>
      <c r="V18" s="12"/>
      <c r="W18" s="10"/>
      <c r="X18" s="10"/>
      <c r="Y18" s="10" t="s">
        <v>83</v>
      </c>
      <c r="Z18" s="10"/>
      <c r="AA18" s="10"/>
      <c r="AB18" s="12"/>
      <c r="AC18" s="12"/>
      <c r="AD18" s="10"/>
      <c r="AE18" s="10"/>
      <c r="AF18" s="13">
        <f t="shared" si="0"/>
        <v>0</v>
      </c>
      <c r="AG18" s="13">
        <f t="shared" si="1"/>
        <v>2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ht="15.75" customHeight="1" x14ac:dyDescent="0.25">
      <c r="A20" s="118" t="s">
        <v>84</v>
      </c>
      <c r="B20" s="118" t="s">
        <v>85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ht="15.75" customHeight="1" x14ac:dyDescent="0.25">
      <c r="A21" s="119"/>
      <c r="B21" s="11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ht="15.75" customHeight="1" x14ac:dyDescent="0.25">
      <c r="A22" s="120"/>
      <c r="B22" s="12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ht="15.75" customHeight="1" x14ac:dyDescent="0.25">
      <c r="A23" s="7" t="s">
        <v>86</v>
      </c>
      <c r="B23" s="8" t="s">
        <v>82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ht="15.75" customHeight="1" x14ac:dyDescent="0.25">
      <c r="A24" s="9" t="s">
        <v>87</v>
      </c>
      <c r="B24" s="8" t="s">
        <v>83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ht="15.75" customHeight="1" x14ac:dyDescent="0.25">
      <c r="A25" s="14" t="s">
        <v>88</v>
      </c>
      <c r="B25" s="8" t="s">
        <v>81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1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spans="1:51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spans="1:51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spans="1:51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spans="1:51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spans="1:51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spans="1:51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spans="1:51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spans="1:51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</sheetData>
  <sheetProtection algorithmName="SHA-512" hashValue="o9p7dXVNQmWKITttQyiKkQW50P9oyKRN1gtE1SAjvddCxa/MTXHG0dB2ozZTQ/v7C1QYIdrog98SBSjNIdQ6vg==" saltValue="T5rs2NEh1RuqxtE1Jz5YWw==" spinCount="100000" sheet="1" objects="1" scenarios="1"/>
  <mergeCells count="7">
    <mergeCell ref="AF3:AF5"/>
    <mergeCell ref="A1:AG2"/>
    <mergeCell ref="B20:B22"/>
    <mergeCell ref="A3:A4"/>
    <mergeCell ref="A20:A22"/>
    <mergeCell ref="AG3:AG5"/>
    <mergeCell ref="B5:AE5"/>
  </mergeCells>
  <conditionalFormatting sqref="B10:D10">
    <cfRule type="cellIs" dxfId="24" priority="46" operator="equal">
      <formula>"S"</formula>
    </cfRule>
    <cfRule type="cellIs" dxfId="23" priority="47" operator="equal">
      <formula>"P"</formula>
    </cfRule>
    <cfRule type="cellIs" dxfId="22" priority="48" operator="equal">
      <formula>"H"</formula>
    </cfRule>
  </conditionalFormatting>
  <conditionalFormatting sqref="B6:AE9">
    <cfRule type="cellIs" dxfId="21" priority="13" operator="equal">
      <formula>"H"</formula>
    </cfRule>
    <cfRule type="cellIs" dxfId="20" priority="49" operator="equal">
      <formula>"S"</formula>
    </cfRule>
    <cfRule type="cellIs" dxfId="19" priority="50" operator="equal">
      <formula>"P"</formula>
    </cfRule>
    <cfRule type="cellIs" dxfId="18" priority="51" operator="equal">
      <formula>"H"</formula>
    </cfRule>
  </conditionalFormatting>
  <conditionalFormatting sqref="B11:AE18">
    <cfRule type="cellIs" dxfId="17" priority="1" operator="equal">
      <formula>"S"</formula>
    </cfRule>
    <cfRule type="cellIs" dxfId="16" priority="2" operator="equal">
      <formula>"P"</formula>
    </cfRule>
    <cfRule type="cellIs" dxfId="15" priority="3" operator="equal">
      <formula>"H"</formula>
    </cfRule>
  </conditionalFormatting>
  <conditionalFormatting sqref="F10:AE10">
    <cfRule type="cellIs" dxfId="14" priority="43" operator="equal">
      <formula>"S"</formula>
    </cfRule>
    <cfRule type="cellIs" dxfId="13" priority="44" operator="equal">
      <formula>"P"</formula>
    </cfRule>
    <cfRule type="cellIs" dxfId="12" priority="45" operator="equal">
      <formula>"H"</formula>
    </cfRule>
  </conditionalFormatting>
  <dataValidations count="1">
    <dataValidation type="list" allowBlank="1" showInputMessage="1" showErrorMessage="1" sqref="B6:H9 B10:D10 B11:H18 F10 I6:J18 K6:N9 K10:M10 K11:N18 P6:T18 U6:V9 W6:AA18 AB6:AB9 AC6:AE18" xr:uid="{00000000-0002-0000-0700-000000000000}">
      <formula1>$B$23:$B$25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1DF58"/>
  </sheetPr>
  <dimension ref="A1:AZ124"/>
  <sheetViews>
    <sheetView workbookViewId="0">
      <selection activeCell="AJ3" sqref="AJ3"/>
    </sheetView>
  </sheetViews>
  <sheetFormatPr defaultRowHeight="15" x14ac:dyDescent="0.25"/>
  <cols>
    <col min="1" max="1" width="26.7109375" bestFit="1" customWidth="1"/>
    <col min="2" max="2" width="5.5703125" bestFit="1" customWidth="1"/>
    <col min="3" max="3" width="4.7109375" bestFit="1" customWidth="1"/>
    <col min="4" max="4" width="3.140625" bestFit="1" customWidth="1"/>
    <col min="5" max="5" width="3.85546875" bestFit="1" customWidth="1"/>
    <col min="6" max="6" width="4.42578125" bestFit="1" customWidth="1"/>
    <col min="7" max="7" width="5.42578125" bestFit="1" customWidth="1"/>
    <col min="8" max="8" width="4.28515625" bestFit="1" customWidth="1"/>
    <col min="9" max="9" width="5.140625" bestFit="1" customWidth="1"/>
    <col min="10" max="10" width="4.28515625" bestFit="1" customWidth="1"/>
    <col min="11" max="11" width="3.42578125" bestFit="1" customWidth="1"/>
    <col min="12" max="12" width="3.85546875" bestFit="1" customWidth="1"/>
    <col min="13" max="13" width="4.42578125" bestFit="1" customWidth="1"/>
    <col min="14" max="14" width="5.42578125" bestFit="1" customWidth="1"/>
    <col min="15" max="15" width="4.28515625" bestFit="1" customWidth="1"/>
    <col min="16" max="16" width="5.140625" bestFit="1" customWidth="1"/>
    <col min="17" max="17" width="4.28515625" bestFit="1" customWidth="1"/>
    <col min="18" max="18" width="3.42578125" bestFit="1" customWidth="1"/>
    <col min="19" max="19" width="3.85546875" bestFit="1" customWidth="1"/>
    <col min="20" max="20" width="4.42578125" bestFit="1" customWidth="1"/>
    <col min="21" max="21" width="5.42578125" bestFit="1" customWidth="1"/>
    <col min="22" max="22" width="4.28515625" bestFit="1" customWidth="1"/>
    <col min="23" max="23" width="5.140625" bestFit="1" customWidth="1"/>
    <col min="24" max="24" width="4.28515625" bestFit="1" customWidth="1"/>
    <col min="25" max="25" width="3.42578125" bestFit="1" customWidth="1"/>
    <col min="26" max="26" width="3.85546875" bestFit="1" customWidth="1"/>
    <col min="27" max="27" width="4.42578125" bestFit="1" customWidth="1"/>
    <col min="28" max="28" width="5.42578125" bestFit="1" customWidth="1"/>
    <col min="29" max="29" width="4.28515625" bestFit="1" customWidth="1"/>
    <col min="30" max="30" width="5.140625" bestFit="1" customWidth="1"/>
    <col min="31" max="31" width="4.28515625" bestFit="1" customWidth="1"/>
    <col min="32" max="32" width="3.42578125" bestFit="1" customWidth="1"/>
  </cols>
  <sheetData>
    <row r="1" spans="1:52" ht="15.75" customHeight="1" x14ac:dyDescent="0.25">
      <c r="A1" s="128" t="s">
        <v>172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4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5.75" customHeight="1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7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5.75" customHeight="1" x14ac:dyDescent="0.25">
      <c r="A3" s="122" t="s">
        <v>156</v>
      </c>
      <c r="B3" s="28" t="s">
        <v>51</v>
      </c>
      <c r="C3" s="28" t="s">
        <v>52</v>
      </c>
      <c r="D3" s="27" t="s">
        <v>53</v>
      </c>
      <c r="E3" s="27" t="s">
        <v>47</v>
      </c>
      <c r="F3" s="28" t="s">
        <v>48</v>
      </c>
      <c r="G3" s="28" t="s">
        <v>49</v>
      </c>
      <c r="H3" s="28" t="s">
        <v>50</v>
      </c>
      <c r="I3" s="28" t="s">
        <v>51</v>
      </c>
      <c r="J3" s="28" t="s">
        <v>52</v>
      </c>
      <c r="K3" s="27" t="s">
        <v>53</v>
      </c>
      <c r="L3" s="27" t="s">
        <v>47</v>
      </c>
      <c r="M3" s="28" t="s">
        <v>48</v>
      </c>
      <c r="N3" s="28" t="s">
        <v>49</v>
      </c>
      <c r="O3" s="28" t="s">
        <v>50</v>
      </c>
      <c r="P3" s="28" t="s">
        <v>51</v>
      </c>
      <c r="Q3" s="28" t="s">
        <v>52</v>
      </c>
      <c r="R3" s="27" t="s">
        <v>53</v>
      </c>
      <c r="S3" s="27" t="s">
        <v>47</v>
      </c>
      <c r="T3" s="28" t="s">
        <v>48</v>
      </c>
      <c r="U3" s="28" t="s">
        <v>49</v>
      </c>
      <c r="V3" s="28" t="s">
        <v>50</v>
      </c>
      <c r="W3" s="28" t="s">
        <v>51</v>
      </c>
      <c r="X3" s="28" t="s">
        <v>52</v>
      </c>
      <c r="Y3" s="27" t="s">
        <v>53</v>
      </c>
      <c r="Z3" s="27" t="s">
        <v>47</v>
      </c>
      <c r="AA3" s="28" t="s">
        <v>48</v>
      </c>
      <c r="AB3" s="28" t="s">
        <v>49</v>
      </c>
      <c r="AC3" s="28" t="s">
        <v>50</v>
      </c>
      <c r="AD3" s="28" t="s">
        <v>51</v>
      </c>
      <c r="AE3" s="28" t="s">
        <v>52</v>
      </c>
      <c r="AF3" s="27" t="s">
        <v>53</v>
      </c>
      <c r="AG3" s="123" t="s">
        <v>54</v>
      </c>
      <c r="AH3" s="121" t="s">
        <v>55</v>
      </c>
      <c r="AI3" s="16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5.75" customHeight="1" x14ac:dyDescent="0.25">
      <c r="A4" s="120"/>
      <c r="B4" s="30">
        <v>1</v>
      </c>
      <c r="C4" s="30">
        <v>2</v>
      </c>
      <c r="D4" s="29">
        <v>3</v>
      </c>
      <c r="E4" s="29">
        <v>4</v>
      </c>
      <c r="F4" s="30">
        <v>5</v>
      </c>
      <c r="G4" s="30">
        <v>6</v>
      </c>
      <c r="H4" s="30">
        <v>7</v>
      </c>
      <c r="I4" s="30">
        <v>8</v>
      </c>
      <c r="J4" s="30">
        <v>9</v>
      </c>
      <c r="K4" s="29">
        <v>10</v>
      </c>
      <c r="L4" s="29">
        <v>11</v>
      </c>
      <c r="M4" s="30">
        <v>12</v>
      </c>
      <c r="N4" s="30">
        <v>13</v>
      </c>
      <c r="O4" s="30">
        <v>14</v>
      </c>
      <c r="P4" s="30">
        <v>15</v>
      </c>
      <c r="Q4" s="30">
        <v>16</v>
      </c>
      <c r="R4" s="29">
        <v>17</v>
      </c>
      <c r="S4" s="29">
        <v>18</v>
      </c>
      <c r="T4" s="30">
        <v>19</v>
      </c>
      <c r="U4" s="30">
        <v>20</v>
      </c>
      <c r="V4" s="30">
        <v>21</v>
      </c>
      <c r="W4" s="30">
        <v>22</v>
      </c>
      <c r="X4" s="30">
        <v>23</v>
      </c>
      <c r="Y4" s="29">
        <v>24</v>
      </c>
      <c r="Z4" s="29">
        <v>25</v>
      </c>
      <c r="AA4" s="30">
        <v>26</v>
      </c>
      <c r="AB4" s="30">
        <v>27</v>
      </c>
      <c r="AC4" s="30">
        <v>28</v>
      </c>
      <c r="AD4" s="30">
        <v>29</v>
      </c>
      <c r="AE4" s="30">
        <v>30</v>
      </c>
      <c r="AF4" s="29">
        <v>31</v>
      </c>
      <c r="AG4" s="119"/>
      <c r="AH4" s="119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8.75" customHeight="1" x14ac:dyDescent="0.25">
      <c r="A5" s="6" t="s">
        <v>157</v>
      </c>
      <c r="B5" s="129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4"/>
      <c r="AG5" s="120"/>
      <c r="AH5" s="120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5.75" customHeight="1" x14ac:dyDescent="0.25">
      <c r="A6" s="23" t="s">
        <v>39</v>
      </c>
      <c r="B6" s="38"/>
      <c r="C6" s="38" t="s">
        <v>81</v>
      </c>
      <c r="D6" s="39" t="s">
        <v>82</v>
      </c>
      <c r="E6" s="40"/>
      <c r="F6" s="41"/>
      <c r="G6" s="38"/>
      <c r="H6" s="38"/>
      <c r="I6" s="38"/>
      <c r="J6" s="38"/>
      <c r="K6" s="39"/>
      <c r="L6" s="42"/>
      <c r="M6" s="43"/>
      <c r="N6" s="43"/>
      <c r="O6" s="43"/>
      <c r="P6" s="43"/>
      <c r="Q6" s="43"/>
      <c r="R6" s="42" t="s">
        <v>82</v>
      </c>
      <c r="S6" s="42"/>
      <c r="T6" s="43"/>
      <c r="U6" s="43" t="s">
        <v>81</v>
      </c>
      <c r="V6" s="43" t="s">
        <v>82</v>
      </c>
      <c r="W6" s="43"/>
      <c r="X6" s="43"/>
      <c r="Y6" s="42"/>
      <c r="Z6" s="40"/>
      <c r="AA6" s="41"/>
      <c r="AB6" s="43"/>
      <c r="AC6" s="38"/>
      <c r="AD6" s="38"/>
      <c r="AE6" s="38"/>
      <c r="AF6" s="39"/>
      <c r="AG6" s="22">
        <f>COUNTIF(B6:AF6,"P")</f>
        <v>3</v>
      </c>
      <c r="AH6" s="22">
        <f>COUNTIF(B6:AF6,"S")</f>
        <v>0</v>
      </c>
      <c r="AI6" s="4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75" customHeight="1" x14ac:dyDescent="0.25">
      <c r="A7" s="23" t="s">
        <v>158</v>
      </c>
      <c r="B7" s="38"/>
      <c r="C7" s="38" t="s">
        <v>81</v>
      </c>
      <c r="D7" s="39" t="s">
        <v>82</v>
      </c>
      <c r="E7" s="40"/>
      <c r="F7" s="41"/>
      <c r="G7" s="38"/>
      <c r="H7" s="38"/>
      <c r="I7" s="38"/>
      <c r="J7" s="38"/>
      <c r="K7" s="39"/>
      <c r="L7" s="42"/>
      <c r="M7" s="43"/>
      <c r="N7" s="43"/>
      <c r="O7" s="43"/>
      <c r="P7" s="43"/>
      <c r="Q7" s="43"/>
      <c r="R7" s="42"/>
      <c r="S7" s="42"/>
      <c r="T7" s="43"/>
      <c r="U7" s="43" t="s">
        <v>81</v>
      </c>
      <c r="V7" s="43" t="s">
        <v>82</v>
      </c>
      <c r="W7" s="43" t="s">
        <v>82</v>
      </c>
      <c r="X7" s="43"/>
      <c r="Y7" s="42"/>
      <c r="Z7" s="40"/>
      <c r="AA7" s="41"/>
      <c r="AB7" s="43"/>
      <c r="AC7" s="38"/>
      <c r="AD7" s="38"/>
      <c r="AE7" s="38"/>
      <c r="AF7" s="39"/>
      <c r="AG7" s="22">
        <f t="shared" ref="AG7:AG18" si="0">(COUNTIF(B7:AF7,"P"))</f>
        <v>3</v>
      </c>
      <c r="AH7" s="22">
        <f t="shared" ref="AH7:AH18" si="1">(COUNTIF(B7:AF7,"S"))</f>
        <v>0</v>
      </c>
      <c r="AI7" s="4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75" customHeight="1" x14ac:dyDescent="0.25">
      <c r="A8" s="23" t="s">
        <v>159</v>
      </c>
      <c r="B8" s="38"/>
      <c r="C8" s="38" t="s">
        <v>81</v>
      </c>
      <c r="D8" s="39" t="s">
        <v>82</v>
      </c>
      <c r="E8" s="40"/>
      <c r="F8" s="41"/>
      <c r="G8" s="38"/>
      <c r="H8" s="38"/>
      <c r="I8" s="38"/>
      <c r="J8" s="38"/>
      <c r="K8" s="39"/>
      <c r="L8" s="42"/>
      <c r="M8" s="43"/>
      <c r="N8" s="43"/>
      <c r="O8" s="43"/>
      <c r="P8" s="43"/>
      <c r="Q8" s="43"/>
      <c r="R8" s="42"/>
      <c r="S8" s="42"/>
      <c r="T8" s="43"/>
      <c r="U8" s="43" t="s">
        <v>81</v>
      </c>
      <c r="V8" s="43" t="s">
        <v>82</v>
      </c>
      <c r="W8" s="43"/>
      <c r="X8" s="43"/>
      <c r="Y8" s="42"/>
      <c r="Z8" s="40"/>
      <c r="AA8" s="41"/>
      <c r="AB8" s="43"/>
      <c r="AC8" s="38"/>
      <c r="AD8" s="38"/>
      <c r="AE8" s="38"/>
      <c r="AF8" s="39"/>
      <c r="AG8" s="22">
        <f t="shared" si="0"/>
        <v>2</v>
      </c>
      <c r="AH8" s="22">
        <f t="shared" si="1"/>
        <v>0</v>
      </c>
      <c r="AI8" s="4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75" customHeight="1" x14ac:dyDescent="0.25">
      <c r="A9" s="17" t="s">
        <v>160</v>
      </c>
      <c r="B9" s="38"/>
      <c r="C9" s="38" t="s">
        <v>81</v>
      </c>
      <c r="D9" s="39" t="s">
        <v>82</v>
      </c>
      <c r="E9" s="40"/>
      <c r="F9" s="41"/>
      <c r="G9" s="38"/>
      <c r="H9" s="38"/>
      <c r="I9" s="38"/>
      <c r="J9" s="38"/>
      <c r="K9" s="39"/>
      <c r="L9" s="42"/>
      <c r="M9" s="43"/>
      <c r="N9" s="43"/>
      <c r="O9" s="43"/>
      <c r="P9" s="43"/>
      <c r="Q9" s="43"/>
      <c r="R9" s="42"/>
      <c r="S9" s="42"/>
      <c r="T9" s="43"/>
      <c r="U9" s="43" t="s">
        <v>81</v>
      </c>
      <c r="V9" s="43"/>
      <c r="W9" s="43"/>
      <c r="X9" s="43"/>
      <c r="Y9" s="42"/>
      <c r="Z9" s="40"/>
      <c r="AA9" s="41"/>
      <c r="AB9" s="43"/>
      <c r="AC9" s="38"/>
      <c r="AD9" s="38"/>
      <c r="AE9" s="38"/>
      <c r="AF9" s="39"/>
      <c r="AG9" s="22">
        <f t="shared" si="0"/>
        <v>1</v>
      </c>
      <c r="AH9" s="22">
        <f t="shared" si="1"/>
        <v>0</v>
      </c>
      <c r="AI9" s="4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.75" customHeight="1" x14ac:dyDescent="0.25">
      <c r="A10" s="5" t="s">
        <v>164</v>
      </c>
      <c r="B10" s="18"/>
      <c r="C10" s="18" t="s">
        <v>81</v>
      </c>
      <c r="D10" s="18" t="s">
        <v>82</v>
      </c>
      <c r="E10" s="19"/>
      <c r="F10" s="19"/>
      <c r="G10" s="18"/>
      <c r="H10" s="18"/>
      <c r="I10" s="18"/>
      <c r="J10" s="18"/>
      <c r="K10" s="18"/>
      <c r="L10" s="20"/>
      <c r="M10" s="20"/>
      <c r="N10" s="21"/>
      <c r="O10" s="21"/>
      <c r="P10" s="21"/>
      <c r="Q10" s="21"/>
      <c r="R10" s="21"/>
      <c r="S10" s="20"/>
      <c r="T10" s="20"/>
      <c r="U10" s="21" t="s">
        <v>81</v>
      </c>
      <c r="V10" s="21"/>
      <c r="W10" s="21"/>
      <c r="X10" s="21"/>
      <c r="Y10" s="21"/>
      <c r="Z10" s="19"/>
      <c r="AA10" s="19"/>
      <c r="AB10" s="21"/>
      <c r="AC10" s="18"/>
      <c r="AD10" s="18"/>
      <c r="AE10" s="18"/>
      <c r="AF10" s="18"/>
      <c r="AG10" s="22">
        <f t="shared" si="0"/>
        <v>1</v>
      </c>
      <c r="AH10" s="22">
        <f t="shared" si="1"/>
        <v>0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.75" customHeight="1" x14ac:dyDescent="0.25">
      <c r="A11" s="5" t="s">
        <v>165</v>
      </c>
      <c r="B11" s="18"/>
      <c r="C11" s="18" t="s">
        <v>81</v>
      </c>
      <c r="D11" s="18"/>
      <c r="E11" s="19"/>
      <c r="F11" s="19"/>
      <c r="G11" s="18"/>
      <c r="H11" s="18"/>
      <c r="I11" s="18"/>
      <c r="J11" s="18"/>
      <c r="K11" s="18"/>
      <c r="L11" s="20"/>
      <c r="M11" s="20"/>
      <c r="N11" s="21" t="s">
        <v>83</v>
      </c>
      <c r="O11" s="21"/>
      <c r="P11" s="21"/>
      <c r="Q11" s="21"/>
      <c r="R11" s="21"/>
      <c r="S11" s="20"/>
      <c r="T11" s="20"/>
      <c r="U11" s="21" t="s">
        <v>81</v>
      </c>
      <c r="V11" s="21"/>
      <c r="W11" s="21"/>
      <c r="X11" s="21"/>
      <c r="Y11" s="21"/>
      <c r="Z11" s="19"/>
      <c r="AA11" s="19"/>
      <c r="AB11" s="21"/>
      <c r="AC11" s="18"/>
      <c r="AD11" s="18"/>
      <c r="AE11" s="18"/>
      <c r="AF11" s="18"/>
      <c r="AG11" s="22">
        <f t="shared" si="0"/>
        <v>0</v>
      </c>
      <c r="AH11" s="22">
        <f t="shared" si="1"/>
        <v>1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.75" customHeight="1" x14ac:dyDescent="0.25">
      <c r="A12" s="5" t="s">
        <v>166</v>
      </c>
      <c r="B12" s="18" t="s">
        <v>82</v>
      </c>
      <c r="C12" s="18" t="s">
        <v>81</v>
      </c>
      <c r="D12" s="18"/>
      <c r="E12" s="19"/>
      <c r="F12" s="19"/>
      <c r="G12" s="18"/>
      <c r="H12" s="18"/>
      <c r="I12" s="18"/>
      <c r="J12" s="18"/>
      <c r="K12" s="18"/>
      <c r="L12" s="20"/>
      <c r="M12" s="20"/>
      <c r="N12" s="21"/>
      <c r="O12" s="21"/>
      <c r="P12" s="21"/>
      <c r="Q12" s="21"/>
      <c r="R12" s="21"/>
      <c r="S12" s="20"/>
      <c r="T12" s="20"/>
      <c r="U12" s="21" t="s">
        <v>81</v>
      </c>
      <c r="V12" s="21" t="s">
        <v>82</v>
      </c>
      <c r="W12" s="21"/>
      <c r="X12" s="21"/>
      <c r="Y12" s="21"/>
      <c r="Z12" s="19"/>
      <c r="AA12" s="19"/>
      <c r="AB12" s="21"/>
      <c r="AC12" s="18"/>
      <c r="AD12" s="18"/>
      <c r="AE12" s="18"/>
      <c r="AF12" s="18"/>
      <c r="AG12" s="22">
        <f t="shared" si="0"/>
        <v>2</v>
      </c>
      <c r="AH12" s="22">
        <f t="shared" si="1"/>
        <v>0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.75" customHeight="1" x14ac:dyDescent="0.25">
      <c r="A13" s="5" t="s">
        <v>167</v>
      </c>
      <c r="B13" s="18"/>
      <c r="C13" s="18" t="s">
        <v>81</v>
      </c>
      <c r="D13" s="18"/>
      <c r="E13" s="19"/>
      <c r="F13" s="19"/>
      <c r="G13" s="18"/>
      <c r="H13" s="18"/>
      <c r="I13" s="18"/>
      <c r="J13" s="18"/>
      <c r="K13" s="18"/>
      <c r="L13" s="20"/>
      <c r="M13" s="20"/>
      <c r="N13" s="21"/>
      <c r="O13" s="21"/>
      <c r="P13" s="21"/>
      <c r="Q13" s="21"/>
      <c r="R13" s="21"/>
      <c r="S13" s="20"/>
      <c r="T13" s="20"/>
      <c r="U13" s="21" t="s">
        <v>81</v>
      </c>
      <c r="V13" s="21" t="s">
        <v>82</v>
      </c>
      <c r="W13" s="21"/>
      <c r="X13" s="21"/>
      <c r="Y13" s="21"/>
      <c r="Z13" s="19"/>
      <c r="AA13" s="19"/>
      <c r="AB13" s="21"/>
      <c r="AC13" s="18"/>
      <c r="AD13" s="18"/>
      <c r="AE13" s="18"/>
      <c r="AF13" s="18"/>
      <c r="AG13" s="22">
        <f t="shared" si="0"/>
        <v>1</v>
      </c>
      <c r="AH13" s="22">
        <f t="shared" si="1"/>
        <v>0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.75" customHeight="1" x14ac:dyDescent="0.25">
      <c r="A14" s="5" t="s">
        <v>168</v>
      </c>
      <c r="B14" s="18"/>
      <c r="C14" s="18" t="s">
        <v>81</v>
      </c>
      <c r="D14" s="18" t="s">
        <v>82</v>
      </c>
      <c r="E14" s="19"/>
      <c r="F14" s="19"/>
      <c r="G14" s="18"/>
      <c r="H14" s="18"/>
      <c r="I14" s="18"/>
      <c r="J14" s="18"/>
      <c r="K14" s="18"/>
      <c r="L14" s="20"/>
      <c r="M14" s="20"/>
      <c r="N14" s="21"/>
      <c r="O14" s="21"/>
      <c r="P14" s="21"/>
      <c r="Q14" s="21"/>
      <c r="R14" s="21"/>
      <c r="S14" s="20"/>
      <c r="T14" s="20"/>
      <c r="U14" s="21" t="s">
        <v>81</v>
      </c>
      <c r="V14" s="21" t="s">
        <v>82</v>
      </c>
      <c r="W14" s="21"/>
      <c r="X14" s="21"/>
      <c r="Y14" s="21" t="s">
        <v>82</v>
      </c>
      <c r="Z14" s="19"/>
      <c r="AA14" s="19"/>
      <c r="AB14" s="21"/>
      <c r="AC14" s="18"/>
      <c r="AD14" s="18"/>
      <c r="AE14" s="18"/>
      <c r="AF14" s="18"/>
      <c r="AG14" s="22">
        <f t="shared" si="0"/>
        <v>3</v>
      </c>
      <c r="AH14" s="22">
        <f t="shared" si="1"/>
        <v>0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.75" customHeight="1" x14ac:dyDescent="0.25">
      <c r="A15" s="5" t="s">
        <v>169</v>
      </c>
      <c r="B15" s="18" t="s">
        <v>82</v>
      </c>
      <c r="C15" s="18" t="s">
        <v>81</v>
      </c>
      <c r="D15" s="18" t="s">
        <v>82</v>
      </c>
      <c r="E15" s="19"/>
      <c r="F15" s="19"/>
      <c r="G15" s="18" t="s">
        <v>82</v>
      </c>
      <c r="H15" s="18" t="s">
        <v>82</v>
      </c>
      <c r="I15" s="18" t="s">
        <v>82</v>
      </c>
      <c r="J15" s="18" t="s">
        <v>82</v>
      </c>
      <c r="K15" s="18" t="s">
        <v>82</v>
      </c>
      <c r="L15" s="20"/>
      <c r="M15" s="20"/>
      <c r="N15" s="21" t="s">
        <v>82</v>
      </c>
      <c r="O15" s="21"/>
      <c r="P15" s="21"/>
      <c r="Q15" s="21"/>
      <c r="R15" s="21"/>
      <c r="S15" s="20"/>
      <c r="T15" s="20"/>
      <c r="U15" s="21" t="s">
        <v>81</v>
      </c>
      <c r="V15" s="21"/>
      <c r="W15" s="21"/>
      <c r="X15" s="21"/>
      <c r="Y15" s="21"/>
      <c r="Z15" s="19"/>
      <c r="AA15" s="19"/>
      <c r="AB15" s="21"/>
      <c r="AC15" s="18"/>
      <c r="AD15" s="18"/>
      <c r="AE15" s="18"/>
      <c r="AF15" s="18"/>
      <c r="AG15" s="22">
        <f t="shared" si="0"/>
        <v>8</v>
      </c>
      <c r="AH15" s="22">
        <f t="shared" si="1"/>
        <v>0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.75" customHeight="1" x14ac:dyDescent="0.25">
      <c r="A16" s="5" t="s">
        <v>170</v>
      </c>
      <c r="B16" s="18"/>
      <c r="C16" s="18" t="s">
        <v>81</v>
      </c>
      <c r="D16" s="18"/>
      <c r="E16" s="19"/>
      <c r="F16" s="19"/>
      <c r="G16" s="18" t="s">
        <v>82</v>
      </c>
      <c r="H16" s="18"/>
      <c r="I16" s="18"/>
      <c r="J16" s="18"/>
      <c r="K16" s="18"/>
      <c r="L16" s="20"/>
      <c r="M16" s="20"/>
      <c r="N16" s="21"/>
      <c r="O16" s="21"/>
      <c r="P16" s="21"/>
      <c r="Q16" s="21"/>
      <c r="R16" s="21"/>
      <c r="S16" s="20"/>
      <c r="T16" s="20"/>
      <c r="U16" s="21" t="s">
        <v>81</v>
      </c>
      <c r="V16" s="21"/>
      <c r="W16" s="21"/>
      <c r="X16" s="21"/>
      <c r="Y16" s="21"/>
      <c r="Z16" s="19"/>
      <c r="AA16" s="19"/>
      <c r="AB16" s="21"/>
      <c r="AC16" s="18"/>
      <c r="AD16" s="18"/>
      <c r="AE16" s="18"/>
      <c r="AF16" s="18"/>
      <c r="AG16" s="22">
        <f t="shared" si="0"/>
        <v>1</v>
      </c>
      <c r="AH16" s="22">
        <f t="shared" si="1"/>
        <v>0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.75" customHeight="1" x14ac:dyDescent="0.25">
      <c r="A17" s="5" t="s">
        <v>173</v>
      </c>
      <c r="B17" s="18"/>
      <c r="C17" s="18" t="s">
        <v>81</v>
      </c>
      <c r="D17" s="18" t="s">
        <v>174</v>
      </c>
      <c r="E17" s="19"/>
      <c r="F17" s="19"/>
      <c r="G17" s="18"/>
      <c r="H17" s="18"/>
      <c r="I17" s="18"/>
      <c r="J17" s="18"/>
      <c r="K17" s="18"/>
      <c r="L17" s="20"/>
      <c r="M17" s="20"/>
      <c r="N17" s="21"/>
      <c r="O17" s="21"/>
      <c r="P17" s="21"/>
      <c r="Q17" s="21"/>
      <c r="R17" s="21"/>
      <c r="S17" s="20"/>
      <c r="T17" s="20"/>
      <c r="U17" s="21" t="s">
        <v>81</v>
      </c>
      <c r="V17" s="21" t="s">
        <v>174</v>
      </c>
      <c r="W17" s="21" t="s">
        <v>174</v>
      </c>
      <c r="X17" s="21"/>
      <c r="Y17" s="21"/>
      <c r="Z17" s="19"/>
      <c r="AA17" s="19"/>
      <c r="AB17" s="21"/>
      <c r="AC17" s="18"/>
      <c r="AD17" s="18"/>
      <c r="AE17" s="18"/>
      <c r="AF17" s="18"/>
      <c r="AG17" s="22">
        <f t="shared" si="0"/>
        <v>3</v>
      </c>
      <c r="AH17" s="22">
        <f t="shared" si="1"/>
        <v>0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.75" customHeight="1" x14ac:dyDescent="0.25">
      <c r="A18" s="5" t="s">
        <v>175</v>
      </c>
      <c r="B18" s="18"/>
      <c r="C18" s="18" t="s">
        <v>81</v>
      </c>
      <c r="D18" s="18" t="s">
        <v>82</v>
      </c>
      <c r="E18" s="19"/>
      <c r="F18" s="19"/>
      <c r="G18" s="18"/>
      <c r="H18" s="18"/>
      <c r="I18" s="18"/>
      <c r="J18" s="18"/>
      <c r="K18" s="18"/>
      <c r="L18" s="20"/>
      <c r="M18" s="20"/>
      <c r="N18" s="21"/>
      <c r="O18" s="21"/>
      <c r="P18" s="21"/>
      <c r="Q18" s="18" t="s">
        <v>82</v>
      </c>
      <c r="R18" s="21" t="s">
        <v>82</v>
      </c>
      <c r="S18" s="20"/>
      <c r="T18" s="20"/>
      <c r="U18" s="21" t="s">
        <v>81</v>
      </c>
      <c r="V18" s="21" t="s">
        <v>82</v>
      </c>
      <c r="W18" s="21" t="s">
        <v>82</v>
      </c>
      <c r="X18" s="21"/>
      <c r="Y18" s="21"/>
      <c r="Z18" s="19"/>
      <c r="AA18" s="19"/>
      <c r="AB18" s="21"/>
      <c r="AC18" s="18"/>
      <c r="AD18" s="18"/>
      <c r="AE18" s="18"/>
      <c r="AF18" s="18"/>
      <c r="AG18" s="25">
        <f t="shared" si="0"/>
        <v>5</v>
      </c>
      <c r="AH18" s="25">
        <f t="shared" si="1"/>
        <v>0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.75" customHeight="1" x14ac:dyDescent="0.25">
      <c r="A19" s="5" t="s">
        <v>176</v>
      </c>
      <c r="B19" s="18"/>
      <c r="C19" s="18" t="s">
        <v>81</v>
      </c>
      <c r="D19" s="18"/>
      <c r="E19" s="19"/>
      <c r="F19" s="19"/>
      <c r="G19" s="18"/>
      <c r="H19" s="18"/>
      <c r="I19" s="18"/>
      <c r="J19" s="18"/>
      <c r="K19" s="18"/>
      <c r="L19" s="20"/>
      <c r="M19" s="20"/>
      <c r="N19" s="21" t="s">
        <v>83</v>
      </c>
      <c r="O19" s="21"/>
      <c r="P19" s="21"/>
      <c r="Q19" s="18"/>
      <c r="R19" s="21"/>
      <c r="S19" s="20"/>
      <c r="T19" s="20"/>
      <c r="U19" s="21"/>
      <c r="V19" s="21"/>
      <c r="W19" s="21"/>
      <c r="X19" s="21"/>
      <c r="Y19" s="21"/>
      <c r="Z19" s="19"/>
      <c r="AA19" s="19"/>
      <c r="AB19" s="21"/>
      <c r="AC19" s="18"/>
      <c r="AD19" s="18"/>
      <c r="AE19" s="18"/>
      <c r="AF19" s="18"/>
      <c r="AG19" s="25"/>
      <c r="AH19" s="25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6">
        <f>SUM(AG6:AG18)</f>
        <v>33</v>
      </c>
      <c r="AH20" s="2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.75" customHeight="1" x14ac:dyDescent="0.25">
      <c r="A22" s="118" t="s">
        <v>84</v>
      </c>
      <c r="B22" s="118" t="s">
        <v>85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.75" customHeight="1" x14ac:dyDescent="0.25">
      <c r="A23" s="119"/>
      <c r="B23" s="11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.75" customHeight="1" x14ac:dyDescent="0.25">
      <c r="A24" s="120"/>
      <c r="B24" s="12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.75" customHeight="1" x14ac:dyDescent="0.25">
      <c r="A25" s="7" t="s">
        <v>86</v>
      </c>
      <c r="B25" s="8" t="s">
        <v>82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.75" customHeight="1" x14ac:dyDescent="0.25">
      <c r="A26" s="9" t="s">
        <v>87</v>
      </c>
      <c r="B26" s="8" t="s">
        <v>83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.75" customHeight="1" x14ac:dyDescent="0.25">
      <c r="A27" s="14" t="s">
        <v>88</v>
      </c>
      <c r="B27" s="8" t="s">
        <v>81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</sheetData>
  <sheetProtection algorithmName="SHA-512" hashValue="S+swlXQazu5p/bdPYZyorRhHuC4P65+tUtv9P7ukCk2t78nZaXbk07uRcx1KbXK13RaJRljz0CpOa0BIsrjcgw==" saltValue="w3+hgylduKx+a+ziQC6xUA==" spinCount="100000" sheet="1" objects="1" scenarios="1"/>
  <mergeCells count="7">
    <mergeCell ref="A1:AH2"/>
    <mergeCell ref="A22:A24"/>
    <mergeCell ref="B22:B24"/>
    <mergeCell ref="AH3:AH5"/>
    <mergeCell ref="A3:A4"/>
    <mergeCell ref="B5:AF5"/>
    <mergeCell ref="AG3:AG5"/>
  </mergeCells>
  <conditionalFormatting sqref="B6:AF9">
    <cfRule type="cellIs" dxfId="11" priority="4" operator="equal">
      <formula>"H"</formula>
    </cfRule>
  </conditionalFormatting>
  <conditionalFormatting sqref="B6:AF19">
    <cfRule type="cellIs" dxfId="10" priority="1" operator="equal">
      <formula>"S"</formula>
    </cfRule>
    <cfRule type="cellIs" dxfId="9" priority="2" operator="equal">
      <formula>"P"</formula>
    </cfRule>
    <cfRule type="cellIs" dxfId="8" priority="3" operator="equal">
      <formula>"H"</formula>
    </cfRule>
  </conditionalFormatting>
  <dataValidations count="1">
    <dataValidation type="list" allowBlank="1" showInputMessage="1" showErrorMessage="1" sqref="B6:AF19" xr:uid="{00000000-0002-0000-0800-000000000000}">
      <formula1>$B$25:$B$27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1DF58"/>
  </sheetPr>
  <dimension ref="A1:BN129"/>
  <sheetViews>
    <sheetView workbookViewId="0">
      <selection activeCell="AC7" sqref="AC7"/>
    </sheetView>
  </sheetViews>
  <sheetFormatPr defaultRowHeight="15" x14ac:dyDescent="0.25"/>
  <cols>
    <col min="1" max="1" width="26.7109375" bestFit="1" customWidth="1"/>
    <col min="2" max="2" width="5.5703125" bestFit="1" customWidth="1"/>
    <col min="3" max="3" width="4.5703125" bestFit="1" customWidth="1"/>
    <col min="4" max="4" width="5.42578125" bestFit="1" customWidth="1"/>
    <col min="5" max="5" width="4.28515625" bestFit="1" customWidth="1"/>
    <col min="6" max="6" width="5.140625" bestFit="1" customWidth="1"/>
    <col min="7" max="7" width="4.28515625" bestFit="1" customWidth="1"/>
    <col min="8" max="8" width="3.140625" bestFit="1" customWidth="1"/>
    <col min="9" max="9" width="3.85546875" bestFit="1" customWidth="1"/>
    <col min="10" max="10" width="4.42578125" bestFit="1" customWidth="1"/>
    <col min="11" max="11" width="5.42578125" bestFit="1" customWidth="1"/>
    <col min="12" max="12" width="4.28515625" bestFit="1" customWidth="1"/>
    <col min="13" max="13" width="5.140625" bestFit="1" customWidth="1"/>
    <col min="14" max="14" width="4.28515625" bestFit="1" customWidth="1"/>
    <col min="15" max="15" width="3.42578125" bestFit="1" customWidth="1"/>
    <col min="16" max="16" width="3.85546875" bestFit="1" customWidth="1"/>
    <col min="17" max="17" width="4.42578125" bestFit="1" customWidth="1"/>
    <col min="18" max="18" width="5.42578125" bestFit="1" customWidth="1"/>
    <col min="19" max="19" width="4.28515625" bestFit="1" customWidth="1"/>
    <col min="20" max="20" width="5.140625" bestFit="1" customWidth="1"/>
    <col min="21" max="21" width="4.28515625" bestFit="1" customWidth="1"/>
    <col min="22" max="22" width="3.42578125" bestFit="1" customWidth="1"/>
    <col min="23" max="23" width="3.85546875" bestFit="1" customWidth="1"/>
    <col min="24" max="24" width="4.42578125" bestFit="1" customWidth="1"/>
    <col min="25" max="25" width="5.42578125" bestFit="1" customWidth="1"/>
    <col min="26" max="26" width="4.28515625" bestFit="1" customWidth="1"/>
    <col min="27" max="27" width="5.140625" bestFit="1" customWidth="1"/>
    <col min="28" max="28" width="4.28515625" bestFit="1" customWidth="1"/>
    <col min="29" max="29" width="3.42578125" bestFit="1" customWidth="1"/>
    <col min="30" max="30" width="4" bestFit="1" customWidth="1"/>
    <col min="31" max="31" width="4.5703125" bestFit="1" customWidth="1"/>
  </cols>
  <sheetData>
    <row r="1" spans="1:66" ht="15.75" customHeight="1" x14ac:dyDescent="0.25">
      <c r="A1" s="112" t="s">
        <v>177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4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5.75" customHeight="1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7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15.75" customHeight="1" x14ac:dyDescent="0.25">
      <c r="A3" s="122" t="s">
        <v>156</v>
      </c>
      <c r="B3" s="27" t="s">
        <v>47</v>
      </c>
      <c r="C3" s="28" t="s">
        <v>48</v>
      </c>
      <c r="D3" s="28" t="s">
        <v>49</v>
      </c>
      <c r="E3" s="28" t="s">
        <v>50</v>
      </c>
      <c r="F3" s="28" t="s">
        <v>51</v>
      </c>
      <c r="G3" s="28" t="s">
        <v>52</v>
      </c>
      <c r="H3" s="27" t="s">
        <v>53</v>
      </c>
      <c r="I3" s="27" t="s">
        <v>47</v>
      </c>
      <c r="J3" s="28" t="s">
        <v>48</v>
      </c>
      <c r="K3" s="28" t="s">
        <v>49</v>
      </c>
      <c r="L3" s="28" t="s">
        <v>50</v>
      </c>
      <c r="M3" s="28" t="s">
        <v>51</v>
      </c>
      <c r="N3" s="28" t="s">
        <v>52</v>
      </c>
      <c r="O3" s="27" t="s">
        <v>53</v>
      </c>
      <c r="P3" s="27" t="s">
        <v>47</v>
      </c>
      <c r="Q3" s="28" t="s">
        <v>48</v>
      </c>
      <c r="R3" s="28" t="s">
        <v>49</v>
      </c>
      <c r="S3" s="28" t="s">
        <v>50</v>
      </c>
      <c r="T3" s="28" t="s">
        <v>51</v>
      </c>
      <c r="U3" s="28" t="s">
        <v>52</v>
      </c>
      <c r="V3" s="27" t="s">
        <v>53</v>
      </c>
      <c r="W3" s="27" t="s">
        <v>47</v>
      </c>
      <c r="X3" s="28" t="s">
        <v>48</v>
      </c>
      <c r="Y3" s="28" t="s">
        <v>49</v>
      </c>
      <c r="Z3" s="28" t="s">
        <v>50</v>
      </c>
      <c r="AA3" s="28" t="s">
        <v>51</v>
      </c>
      <c r="AB3" s="28" t="s">
        <v>52</v>
      </c>
      <c r="AC3" s="27" t="s">
        <v>53</v>
      </c>
      <c r="AD3" s="27" t="s">
        <v>47</v>
      </c>
      <c r="AE3" s="28" t="s">
        <v>48</v>
      </c>
      <c r="AF3" s="123"/>
      <c r="AG3" s="121" t="s">
        <v>55</v>
      </c>
      <c r="AH3" s="16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15.75" customHeight="1" x14ac:dyDescent="0.25">
      <c r="A4" s="120"/>
      <c r="B4" s="29">
        <v>1</v>
      </c>
      <c r="C4" s="30">
        <v>2</v>
      </c>
      <c r="D4" s="30">
        <v>3</v>
      </c>
      <c r="E4" s="30">
        <v>4</v>
      </c>
      <c r="F4" s="30">
        <v>5</v>
      </c>
      <c r="G4" s="30">
        <v>6</v>
      </c>
      <c r="H4" s="29">
        <v>7</v>
      </c>
      <c r="I4" s="29">
        <v>8</v>
      </c>
      <c r="J4" s="30">
        <v>9</v>
      </c>
      <c r="K4" s="30">
        <v>10</v>
      </c>
      <c r="L4" s="30">
        <v>11</v>
      </c>
      <c r="M4" s="30">
        <v>12</v>
      </c>
      <c r="N4" s="30">
        <v>13</v>
      </c>
      <c r="O4" s="29">
        <v>14</v>
      </c>
      <c r="P4" s="29">
        <v>15</v>
      </c>
      <c r="Q4" s="30">
        <v>16</v>
      </c>
      <c r="R4" s="30">
        <v>17</v>
      </c>
      <c r="S4" s="30">
        <v>18</v>
      </c>
      <c r="T4" s="30">
        <v>19</v>
      </c>
      <c r="U4" s="30">
        <v>20</v>
      </c>
      <c r="V4" s="29">
        <v>21</v>
      </c>
      <c r="W4" s="29">
        <v>22</v>
      </c>
      <c r="X4" s="30">
        <v>23</v>
      </c>
      <c r="Y4" s="30">
        <v>24</v>
      </c>
      <c r="Z4" s="30">
        <v>25</v>
      </c>
      <c r="AA4" s="30">
        <v>26</v>
      </c>
      <c r="AB4" s="30">
        <v>27</v>
      </c>
      <c r="AC4" s="29">
        <v>28</v>
      </c>
      <c r="AD4" s="29">
        <v>29</v>
      </c>
      <c r="AE4" s="30">
        <v>30</v>
      </c>
      <c r="AF4" s="119"/>
      <c r="AG4" s="119"/>
      <c r="AH4" s="3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18.75" customHeight="1" x14ac:dyDescent="0.25">
      <c r="A5" s="6" t="s">
        <v>157</v>
      </c>
      <c r="B5" s="126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7"/>
      <c r="AF5" s="120"/>
      <c r="AG5" s="120"/>
      <c r="AH5" s="3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15.75" customHeight="1" x14ac:dyDescent="0.25">
      <c r="A6" s="23" t="s">
        <v>39</v>
      </c>
      <c r="B6" s="31"/>
      <c r="C6" s="32"/>
      <c r="D6" s="32"/>
      <c r="E6" s="32"/>
      <c r="F6" s="32"/>
      <c r="G6" s="32"/>
      <c r="H6" s="31" t="s">
        <v>82</v>
      </c>
      <c r="I6" s="31"/>
      <c r="J6" s="32"/>
      <c r="K6" s="32" t="s">
        <v>82</v>
      </c>
      <c r="L6" s="32"/>
      <c r="M6" s="32"/>
      <c r="N6" s="32"/>
      <c r="O6" s="31"/>
      <c r="P6" s="33"/>
      <c r="Q6" s="34"/>
      <c r="R6" s="35" t="s">
        <v>82</v>
      </c>
      <c r="S6" s="35" t="s">
        <v>82</v>
      </c>
      <c r="T6" s="35" t="s">
        <v>82</v>
      </c>
      <c r="U6" s="35" t="s">
        <v>82</v>
      </c>
      <c r="V6" s="36" t="s">
        <v>82</v>
      </c>
      <c r="W6" s="33"/>
      <c r="X6" s="34"/>
      <c r="Y6" s="32"/>
      <c r="Z6" s="32"/>
      <c r="AA6" s="32"/>
      <c r="AB6" s="32"/>
      <c r="AC6" s="31"/>
      <c r="AD6" s="33"/>
      <c r="AE6" s="34"/>
      <c r="AF6" s="13">
        <f t="shared" ref="AF6:AF19" si="0">(COUNTIF(B6:AC6,"P"))</f>
        <v>7</v>
      </c>
      <c r="AG6" s="13">
        <f>COUNTIF(B6:AF6,"P")</f>
        <v>7</v>
      </c>
      <c r="AH6" s="4">
        <f>COUNTIF(B6:AF6,"S")</f>
        <v>0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ht="15.75" customHeight="1" x14ac:dyDescent="0.25">
      <c r="A7" s="23" t="s">
        <v>158</v>
      </c>
      <c r="B7" s="31"/>
      <c r="C7" s="32"/>
      <c r="D7" s="32"/>
      <c r="E7" s="32"/>
      <c r="F7" s="32"/>
      <c r="G7" s="32"/>
      <c r="H7" s="31"/>
      <c r="I7" s="31"/>
      <c r="J7" s="32"/>
      <c r="K7" s="32"/>
      <c r="L7" s="32" t="s">
        <v>82</v>
      </c>
      <c r="M7" s="32"/>
      <c r="N7" s="32"/>
      <c r="O7" s="31"/>
      <c r="P7" s="33"/>
      <c r="Q7" s="34"/>
      <c r="R7" s="35"/>
      <c r="S7" s="35"/>
      <c r="T7" s="35"/>
      <c r="U7" s="35"/>
      <c r="V7" s="36"/>
      <c r="W7" s="33"/>
      <c r="X7" s="34"/>
      <c r="Y7" s="32"/>
      <c r="Z7" s="32"/>
      <c r="AA7" s="32" t="s">
        <v>82</v>
      </c>
      <c r="AB7" s="32" t="s">
        <v>174</v>
      </c>
      <c r="AC7" s="31"/>
      <c r="AD7" s="33"/>
      <c r="AE7" s="34"/>
      <c r="AF7" s="13">
        <f t="shared" si="0"/>
        <v>3</v>
      </c>
      <c r="AG7" s="13">
        <f t="shared" ref="AG7:AG19" si="1">(COUNTIF(B7:AC7,"S"))</f>
        <v>0</v>
      </c>
      <c r="AH7" s="4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ht="15.75" customHeight="1" x14ac:dyDescent="0.25">
      <c r="A8" s="23" t="s">
        <v>159</v>
      </c>
      <c r="B8" s="31"/>
      <c r="C8" s="32"/>
      <c r="D8" s="32"/>
      <c r="E8" s="32"/>
      <c r="F8" s="32"/>
      <c r="G8" s="32"/>
      <c r="H8" s="31"/>
      <c r="I8" s="31"/>
      <c r="J8" s="32"/>
      <c r="K8" s="32"/>
      <c r="L8" s="32"/>
      <c r="M8" s="32"/>
      <c r="N8" s="32"/>
      <c r="O8" s="31"/>
      <c r="P8" s="33"/>
      <c r="Q8" s="34"/>
      <c r="R8" s="35"/>
      <c r="S8" s="35"/>
      <c r="T8" s="35"/>
      <c r="U8" s="35"/>
      <c r="V8" s="36"/>
      <c r="W8" s="33"/>
      <c r="X8" s="34"/>
      <c r="Y8" s="32"/>
      <c r="Z8" s="32"/>
      <c r="AA8" s="32"/>
      <c r="AB8" s="32" t="s">
        <v>82</v>
      </c>
      <c r="AC8" s="31" t="s">
        <v>82</v>
      </c>
      <c r="AD8" s="33"/>
      <c r="AE8" s="34"/>
      <c r="AF8" s="13">
        <f t="shared" si="0"/>
        <v>2</v>
      </c>
      <c r="AG8" s="13">
        <f t="shared" si="1"/>
        <v>0</v>
      </c>
      <c r="AH8" s="4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ht="15.75" customHeight="1" x14ac:dyDescent="0.25">
      <c r="A9" s="17" t="s">
        <v>160</v>
      </c>
      <c r="B9" s="31"/>
      <c r="C9" s="32"/>
      <c r="D9" s="32"/>
      <c r="E9" s="32"/>
      <c r="F9" s="32"/>
      <c r="G9" s="32"/>
      <c r="H9" s="31"/>
      <c r="I9" s="31"/>
      <c r="J9" s="32"/>
      <c r="K9" s="32"/>
      <c r="L9" s="32"/>
      <c r="M9" s="32"/>
      <c r="N9" s="32"/>
      <c r="O9" s="31"/>
      <c r="P9" s="33"/>
      <c r="Q9" s="34"/>
      <c r="R9" s="35"/>
      <c r="S9" s="35"/>
      <c r="T9" s="35"/>
      <c r="U9" s="35"/>
      <c r="V9" s="36"/>
      <c r="W9" s="33"/>
      <c r="X9" s="34"/>
      <c r="Y9" s="32"/>
      <c r="Z9" s="35" t="s">
        <v>82</v>
      </c>
      <c r="AA9" s="35" t="s">
        <v>82</v>
      </c>
      <c r="AB9" s="32"/>
      <c r="AC9" s="31"/>
      <c r="AD9" s="33"/>
      <c r="AE9" s="34"/>
      <c r="AF9" s="13">
        <f t="shared" si="0"/>
        <v>2</v>
      </c>
      <c r="AG9" s="13">
        <f t="shared" si="1"/>
        <v>0</v>
      </c>
      <c r="AH9" s="4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ht="15.75" customHeight="1" x14ac:dyDescent="0.25">
      <c r="A10" s="5" t="s">
        <v>164</v>
      </c>
      <c r="B10" s="11"/>
      <c r="C10" s="11"/>
      <c r="D10" s="10"/>
      <c r="E10" s="10"/>
      <c r="F10" s="10"/>
      <c r="G10" s="10"/>
      <c r="H10" s="10"/>
      <c r="I10" s="11"/>
      <c r="J10" s="11"/>
      <c r="K10" s="10"/>
      <c r="L10" s="10"/>
      <c r="M10" s="10"/>
      <c r="N10" s="10"/>
      <c r="O10" s="10"/>
      <c r="P10" s="12"/>
      <c r="Q10" s="12"/>
      <c r="R10" s="15"/>
      <c r="S10" s="15"/>
      <c r="T10" s="15"/>
      <c r="U10" s="15"/>
      <c r="V10" s="15"/>
      <c r="W10" s="12"/>
      <c r="X10" s="12"/>
      <c r="Y10" s="10"/>
      <c r="Z10" s="10"/>
      <c r="AA10" s="10"/>
      <c r="AB10" s="10"/>
      <c r="AC10" s="10"/>
      <c r="AD10" s="12"/>
      <c r="AE10" s="12"/>
      <c r="AF10" s="13">
        <f t="shared" si="0"/>
        <v>0</v>
      </c>
      <c r="AG10" s="13">
        <f t="shared" si="1"/>
        <v>0</v>
      </c>
      <c r="AH10" s="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ht="15.75" customHeight="1" x14ac:dyDescent="0.25">
      <c r="A11" s="5" t="s">
        <v>165</v>
      </c>
      <c r="B11" s="11"/>
      <c r="C11" s="11"/>
      <c r="D11" s="10"/>
      <c r="E11" s="10"/>
      <c r="F11" s="10"/>
      <c r="G11" s="10"/>
      <c r="H11" s="10"/>
      <c r="I11" s="11"/>
      <c r="J11" s="11"/>
      <c r="K11" s="10"/>
      <c r="L11" s="10"/>
      <c r="M11" s="10"/>
      <c r="N11" s="10"/>
      <c r="O11" s="10"/>
      <c r="P11" s="12"/>
      <c r="Q11" s="12"/>
      <c r="R11" s="15"/>
      <c r="S11" s="15"/>
      <c r="T11" s="15"/>
      <c r="U11" s="15"/>
      <c r="V11" s="15"/>
      <c r="W11" s="12"/>
      <c r="X11" s="12"/>
      <c r="Y11" s="10"/>
      <c r="Z11" s="10"/>
      <c r="AA11" s="10"/>
      <c r="AB11" s="10"/>
      <c r="AC11" s="10"/>
      <c r="AD11" s="12"/>
      <c r="AE11" s="12"/>
      <c r="AF11" s="13">
        <f t="shared" si="0"/>
        <v>0</v>
      </c>
      <c r="AG11" s="13">
        <f t="shared" si="1"/>
        <v>0</v>
      </c>
      <c r="AH11" s="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ht="15.75" customHeight="1" x14ac:dyDescent="0.25">
      <c r="A12" s="5" t="s">
        <v>166</v>
      </c>
      <c r="B12" s="11"/>
      <c r="C12" s="11"/>
      <c r="D12" s="10"/>
      <c r="E12" s="10"/>
      <c r="F12" s="10"/>
      <c r="G12" s="10"/>
      <c r="H12" s="10"/>
      <c r="I12" s="11"/>
      <c r="J12" s="11"/>
      <c r="K12" s="10" t="s">
        <v>82</v>
      </c>
      <c r="L12" s="10" t="s">
        <v>82</v>
      </c>
      <c r="M12" s="10" t="s">
        <v>82</v>
      </c>
      <c r="N12" s="10" t="s">
        <v>82</v>
      </c>
      <c r="O12" s="10" t="s">
        <v>82</v>
      </c>
      <c r="P12" s="12"/>
      <c r="Q12" s="12"/>
      <c r="R12" s="15"/>
      <c r="S12" s="15"/>
      <c r="T12" s="15"/>
      <c r="U12" s="15"/>
      <c r="V12" s="15"/>
      <c r="W12" s="12"/>
      <c r="X12" s="12"/>
      <c r="Y12" s="10"/>
      <c r="Z12" s="10"/>
      <c r="AA12" s="10"/>
      <c r="AB12" s="10"/>
      <c r="AC12" s="10"/>
      <c r="AD12" s="12"/>
      <c r="AE12" s="12"/>
      <c r="AF12" s="13">
        <f t="shared" si="0"/>
        <v>5</v>
      </c>
      <c r="AG12" s="13">
        <f t="shared" si="1"/>
        <v>0</v>
      </c>
      <c r="AH12" s="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15.75" customHeight="1" x14ac:dyDescent="0.25">
      <c r="A13" s="5" t="s">
        <v>167</v>
      </c>
      <c r="B13" s="11"/>
      <c r="C13" s="11"/>
      <c r="D13" s="10" t="s">
        <v>82</v>
      </c>
      <c r="E13" s="10" t="s">
        <v>82</v>
      </c>
      <c r="F13" s="10" t="s">
        <v>82</v>
      </c>
      <c r="G13" s="10"/>
      <c r="H13" s="10"/>
      <c r="I13" s="11"/>
      <c r="J13" s="11"/>
      <c r="K13" s="10"/>
      <c r="L13" s="10"/>
      <c r="M13" s="10"/>
      <c r="N13" s="10"/>
      <c r="O13" s="10"/>
      <c r="P13" s="12"/>
      <c r="Q13" s="12"/>
      <c r="R13" s="15"/>
      <c r="S13" s="15"/>
      <c r="T13" s="15"/>
      <c r="U13" s="15"/>
      <c r="V13" s="15"/>
      <c r="W13" s="12"/>
      <c r="X13" s="12"/>
      <c r="Y13" s="10"/>
      <c r="Z13" s="10"/>
      <c r="AA13" s="10"/>
      <c r="AB13" s="10"/>
      <c r="AC13" s="10"/>
      <c r="AD13" s="12"/>
      <c r="AE13" s="12"/>
      <c r="AF13" s="13">
        <f t="shared" si="0"/>
        <v>3</v>
      </c>
      <c r="AG13" s="13">
        <f t="shared" si="1"/>
        <v>0</v>
      </c>
      <c r="AH13" s="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ht="15.75" customHeight="1" x14ac:dyDescent="0.25">
      <c r="A14" s="5" t="s">
        <v>168</v>
      </c>
      <c r="B14" s="11"/>
      <c r="C14" s="11"/>
      <c r="D14" s="10"/>
      <c r="E14" s="10"/>
      <c r="F14" s="10"/>
      <c r="G14" s="10"/>
      <c r="H14" s="10"/>
      <c r="I14" s="11"/>
      <c r="J14" s="11"/>
      <c r="K14" s="10"/>
      <c r="L14" s="10"/>
      <c r="M14" s="10"/>
      <c r="N14" s="10"/>
      <c r="O14" s="10"/>
      <c r="P14" s="12"/>
      <c r="Q14" s="12"/>
      <c r="R14" s="15"/>
      <c r="S14" s="15"/>
      <c r="T14" s="15"/>
      <c r="U14" s="15"/>
      <c r="V14" s="15"/>
      <c r="W14" s="12"/>
      <c r="X14" s="12"/>
      <c r="Y14" s="10"/>
      <c r="Z14" s="10"/>
      <c r="AA14" s="10"/>
      <c r="AB14" s="10"/>
      <c r="AC14" s="10"/>
      <c r="AD14" s="12"/>
      <c r="AE14" s="12"/>
      <c r="AF14" s="13">
        <f t="shared" si="0"/>
        <v>0</v>
      </c>
      <c r="AG14" s="13">
        <f t="shared" si="1"/>
        <v>0</v>
      </c>
      <c r="AH14" s="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ht="15.75" customHeight="1" x14ac:dyDescent="0.25">
      <c r="A15" s="5" t="s">
        <v>169</v>
      </c>
      <c r="B15" s="11"/>
      <c r="C15" s="11"/>
      <c r="D15" s="10"/>
      <c r="E15" s="10"/>
      <c r="F15" s="10"/>
      <c r="G15" s="10"/>
      <c r="H15" s="10"/>
      <c r="I15" s="11"/>
      <c r="J15" s="11"/>
      <c r="K15" s="10"/>
      <c r="L15" s="10"/>
      <c r="M15" s="10"/>
      <c r="N15" s="10"/>
      <c r="O15" s="10"/>
      <c r="P15" s="12"/>
      <c r="Q15" s="12"/>
      <c r="R15" s="15"/>
      <c r="S15" s="15"/>
      <c r="T15" s="15"/>
      <c r="U15" s="15"/>
      <c r="V15" s="15"/>
      <c r="W15" s="12"/>
      <c r="X15" s="12"/>
      <c r="Y15" s="10"/>
      <c r="Z15" s="10"/>
      <c r="AA15" s="10"/>
      <c r="AB15" s="10"/>
      <c r="AC15" s="10"/>
      <c r="AD15" s="12"/>
      <c r="AE15" s="12"/>
      <c r="AF15" s="13">
        <f t="shared" si="0"/>
        <v>0</v>
      </c>
      <c r="AG15" s="13">
        <f t="shared" si="1"/>
        <v>0</v>
      </c>
      <c r="AH15" s="4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15.75" customHeight="1" x14ac:dyDescent="0.25">
      <c r="A16" s="5" t="s">
        <v>170</v>
      </c>
      <c r="B16" s="11"/>
      <c r="C16" s="11"/>
      <c r="D16" s="10"/>
      <c r="E16" s="10"/>
      <c r="F16" s="10"/>
      <c r="G16" s="10"/>
      <c r="H16" s="10"/>
      <c r="I16" s="11"/>
      <c r="J16" s="11"/>
      <c r="K16" s="10"/>
      <c r="L16" s="10"/>
      <c r="M16" s="10"/>
      <c r="N16" s="10"/>
      <c r="O16" s="10"/>
      <c r="P16" s="12"/>
      <c r="Q16" s="12"/>
      <c r="R16" s="15"/>
      <c r="S16" s="15"/>
      <c r="T16" s="15"/>
      <c r="U16" s="15"/>
      <c r="V16" s="15"/>
      <c r="W16" s="12"/>
      <c r="X16" s="12"/>
      <c r="Y16" s="10"/>
      <c r="Z16" s="10"/>
      <c r="AA16" s="10"/>
      <c r="AB16" s="10"/>
      <c r="AC16" s="10"/>
      <c r="AD16" s="12"/>
      <c r="AE16" s="12"/>
      <c r="AF16" s="13">
        <f t="shared" si="0"/>
        <v>0</v>
      </c>
      <c r="AG16" s="13">
        <f t="shared" si="1"/>
        <v>0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ht="15.75" customHeight="1" x14ac:dyDescent="0.25">
      <c r="A17" s="5" t="s">
        <v>173</v>
      </c>
      <c r="B17" s="11"/>
      <c r="C17" s="11"/>
      <c r="D17" s="10"/>
      <c r="E17" s="10"/>
      <c r="F17" s="10"/>
      <c r="G17" s="10"/>
      <c r="H17" s="10"/>
      <c r="I17" s="11"/>
      <c r="J17" s="11"/>
      <c r="K17" s="10"/>
      <c r="L17" s="10"/>
      <c r="M17" s="10"/>
      <c r="N17" s="10"/>
      <c r="O17" s="10"/>
      <c r="P17" s="12"/>
      <c r="Q17" s="12"/>
      <c r="R17" s="15"/>
      <c r="S17" s="15"/>
      <c r="T17" s="15"/>
      <c r="U17" s="15"/>
      <c r="V17" s="15"/>
      <c r="W17" s="12"/>
      <c r="X17" s="12"/>
      <c r="Y17" s="10"/>
      <c r="Z17" s="10"/>
      <c r="AA17" s="10"/>
      <c r="AB17" s="10"/>
      <c r="AC17" s="10"/>
      <c r="AD17" s="12"/>
      <c r="AE17" s="12"/>
      <c r="AF17" s="13">
        <f t="shared" si="0"/>
        <v>0</v>
      </c>
      <c r="AG17" s="13">
        <f t="shared" si="1"/>
        <v>0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ht="15.75" customHeight="1" x14ac:dyDescent="0.25">
      <c r="A18" s="5" t="s">
        <v>175</v>
      </c>
      <c r="B18" s="11"/>
      <c r="C18" s="11"/>
      <c r="D18" s="10"/>
      <c r="E18" s="10"/>
      <c r="F18" s="10"/>
      <c r="G18" s="10"/>
      <c r="H18" s="10"/>
      <c r="I18" s="11"/>
      <c r="J18" s="11"/>
      <c r="K18" s="10"/>
      <c r="L18" s="10"/>
      <c r="M18" s="10"/>
      <c r="N18" s="10"/>
      <c r="O18" s="10"/>
      <c r="P18" s="12"/>
      <c r="Q18" s="12"/>
      <c r="R18" s="15"/>
      <c r="S18" s="15"/>
      <c r="T18" s="15"/>
      <c r="U18" s="15"/>
      <c r="V18" s="15"/>
      <c r="W18" s="12"/>
      <c r="X18" s="12"/>
      <c r="Y18" s="10"/>
      <c r="Z18" s="10"/>
      <c r="AA18" s="10"/>
      <c r="AB18" s="10"/>
      <c r="AC18" s="10"/>
      <c r="AD18" s="12"/>
      <c r="AE18" s="12"/>
      <c r="AF18" s="13">
        <f t="shared" si="0"/>
        <v>0</v>
      </c>
      <c r="AG18" s="13">
        <f t="shared" si="1"/>
        <v>0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5.75" customHeight="1" x14ac:dyDescent="0.25">
      <c r="A19" s="5" t="s">
        <v>176</v>
      </c>
      <c r="B19" s="11"/>
      <c r="C19" s="11"/>
      <c r="D19" s="10"/>
      <c r="E19" s="10"/>
      <c r="F19" s="10"/>
      <c r="G19" s="10"/>
      <c r="H19" s="10"/>
      <c r="I19" s="11"/>
      <c r="J19" s="11"/>
      <c r="K19" s="10"/>
      <c r="L19" s="10"/>
      <c r="M19" s="10"/>
      <c r="N19" s="10"/>
      <c r="O19" s="10"/>
      <c r="P19" s="12"/>
      <c r="Q19" s="12"/>
      <c r="R19" s="15"/>
      <c r="S19" s="15"/>
      <c r="T19" s="15"/>
      <c r="U19" s="15"/>
      <c r="V19" s="15"/>
      <c r="W19" s="12"/>
      <c r="X19" s="12"/>
      <c r="Y19" s="10"/>
      <c r="Z19" s="10"/>
      <c r="AA19" s="10"/>
      <c r="AB19" s="10"/>
      <c r="AC19" s="10"/>
      <c r="AD19" s="12"/>
      <c r="AE19" s="12"/>
      <c r="AF19" s="13">
        <f t="shared" si="0"/>
        <v>0</v>
      </c>
      <c r="AG19" s="13">
        <f t="shared" si="1"/>
        <v>0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spans="1:66" ht="15.75" customHeight="1" x14ac:dyDescent="0.25">
      <c r="A24" s="118" t="s">
        <v>84</v>
      </c>
      <c r="B24" s="118" t="s">
        <v>85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 ht="15.75" customHeight="1" x14ac:dyDescent="0.25">
      <c r="A25" s="119"/>
      <c r="B25" s="11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ht="15.75" customHeight="1" x14ac:dyDescent="0.25">
      <c r="A26" s="120"/>
      <c r="B26" s="12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15.75" customHeight="1" x14ac:dyDescent="0.25">
      <c r="A27" s="7" t="s">
        <v>86</v>
      </c>
      <c r="B27" s="8" t="s">
        <v>82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15.75" customHeight="1" x14ac:dyDescent="0.25">
      <c r="A28" s="9" t="s">
        <v>87</v>
      </c>
      <c r="B28" s="8" t="s">
        <v>83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15.75" customHeight="1" x14ac:dyDescent="0.25">
      <c r="A29" s="14" t="s">
        <v>88</v>
      </c>
      <c r="B29" s="8" t="s">
        <v>81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</sheetData>
  <mergeCells count="7">
    <mergeCell ref="A24:A26"/>
    <mergeCell ref="B24:B26"/>
    <mergeCell ref="AF3:AF5"/>
    <mergeCell ref="A1:AG2"/>
    <mergeCell ref="A3:A4"/>
    <mergeCell ref="AG3:AG5"/>
    <mergeCell ref="B5:AE5"/>
  </mergeCells>
  <conditionalFormatting sqref="B6:AE9">
    <cfRule type="cellIs" dxfId="7" priority="4" operator="equal">
      <formula>"H"</formula>
    </cfRule>
  </conditionalFormatting>
  <conditionalFormatting sqref="B6:AE19">
    <cfRule type="cellIs" dxfId="6" priority="1" operator="equal">
      <formula>"S"</formula>
    </cfRule>
    <cfRule type="cellIs" dxfId="5" priority="2" operator="equal">
      <formula>"P"</formula>
    </cfRule>
    <cfRule type="cellIs" dxfId="4" priority="3" operator="equal">
      <formula>"H"</formula>
    </cfRule>
  </conditionalFormatting>
  <dataValidations count="1">
    <dataValidation type="list" allowBlank="1" showInputMessage="1" showErrorMessage="1" sqref="B6:X14 Y6:AC19 AD6:AE14" xr:uid="{00000000-0002-0000-0900-000000000000}">
      <formula1>$B$27:$B$29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1DF58"/>
  </sheetPr>
  <dimension ref="A1:AZ136"/>
  <sheetViews>
    <sheetView workbookViewId="0">
      <selection activeCell="Z26" sqref="Z26"/>
    </sheetView>
  </sheetViews>
  <sheetFormatPr defaultRowHeight="15" x14ac:dyDescent="0.25"/>
  <cols>
    <col min="1" max="1" width="26.7109375" bestFit="1" customWidth="1"/>
    <col min="2" max="2" width="5.5703125" bestFit="1" customWidth="1"/>
    <col min="3" max="3" width="4.5703125" bestFit="1" customWidth="1"/>
    <col min="4" max="4" width="5.5703125" bestFit="1" customWidth="1"/>
    <col min="5" max="5" width="4.7109375" bestFit="1" customWidth="1"/>
    <col min="6" max="6" width="3.5703125" bestFit="1" customWidth="1"/>
    <col min="7" max="7" width="4" bestFit="1" customWidth="1"/>
    <col min="8" max="8" width="4.5703125" bestFit="1" customWidth="1"/>
    <col min="9" max="9" width="5.5703125" bestFit="1" customWidth="1"/>
    <col min="10" max="10" width="4.5703125" bestFit="1" customWidth="1"/>
    <col min="11" max="11" width="5.5703125" bestFit="1" customWidth="1"/>
    <col min="12" max="12" width="4.7109375" bestFit="1" customWidth="1"/>
    <col min="13" max="13" width="3.5703125" bestFit="1" customWidth="1"/>
    <col min="14" max="14" width="4" bestFit="1" customWidth="1"/>
    <col min="15" max="15" width="4.5703125" bestFit="1" customWidth="1"/>
    <col min="16" max="16" width="5.5703125" bestFit="1" customWidth="1"/>
    <col min="17" max="17" width="4.5703125" bestFit="1" customWidth="1"/>
    <col min="18" max="18" width="5.5703125" bestFit="1" customWidth="1"/>
    <col min="19" max="19" width="4.7109375" bestFit="1" customWidth="1"/>
    <col min="20" max="20" width="3.5703125" bestFit="1" customWidth="1"/>
    <col min="21" max="21" width="4" bestFit="1" customWidth="1"/>
    <col min="22" max="22" width="4.5703125" bestFit="1" customWidth="1"/>
    <col min="23" max="23" width="5.5703125" bestFit="1" customWidth="1"/>
    <col min="24" max="24" width="4.5703125" bestFit="1" customWidth="1"/>
    <col min="25" max="25" width="5.5703125" bestFit="1" customWidth="1"/>
    <col min="26" max="26" width="4.7109375" bestFit="1" customWidth="1"/>
    <col min="27" max="27" width="3.5703125" bestFit="1" customWidth="1"/>
    <col min="28" max="28" width="4" bestFit="1" customWidth="1"/>
    <col min="29" max="29" width="4.5703125" bestFit="1" customWidth="1"/>
    <col min="30" max="30" width="5.5703125" bestFit="1" customWidth="1"/>
    <col min="31" max="31" width="4.5703125" bestFit="1" customWidth="1"/>
    <col min="32" max="32" width="4.5703125" customWidth="1"/>
  </cols>
  <sheetData>
    <row r="1" spans="1:52" ht="15.75" customHeight="1" x14ac:dyDescent="0.25">
      <c r="A1" s="112" t="s">
        <v>178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4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5.75" customHeight="1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7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5.75" customHeight="1" x14ac:dyDescent="0.25">
      <c r="A3" s="122" t="s">
        <v>156</v>
      </c>
      <c r="B3" s="28" t="s">
        <v>49</v>
      </c>
      <c r="C3" s="28" t="s">
        <v>50</v>
      </c>
      <c r="D3" s="28" t="s">
        <v>51</v>
      </c>
      <c r="E3" s="28" t="s">
        <v>52</v>
      </c>
      <c r="F3" s="27" t="s">
        <v>53</v>
      </c>
      <c r="G3" s="27" t="s">
        <v>47</v>
      </c>
      <c r="H3" s="28" t="s">
        <v>48</v>
      </c>
      <c r="I3" s="28" t="s">
        <v>49</v>
      </c>
      <c r="J3" s="28" t="s">
        <v>50</v>
      </c>
      <c r="K3" s="28" t="s">
        <v>51</v>
      </c>
      <c r="L3" s="28" t="s">
        <v>52</v>
      </c>
      <c r="M3" s="27" t="s">
        <v>53</v>
      </c>
      <c r="N3" s="27" t="s">
        <v>47</v>
      </c>
      <c r="O3" s="28" t="s">
        <v>48</v>
      </c>
      <c r="P3" s="28" t="s">
        <v>49</v>
      </c>
      <c r="Q3" s="28" t="s">
        <v>50</v>
      </c>
      <c r="R3" s="28" t="s">
        <v>51</v>
      </c>
      <c r="S3" s="28" t="s">
        <v>52</v>
      </c>
      <c r="T3" s="27" t="s">
        <v>53</v>
      </c>
      <c r="U3" s="27" t="s">
        <v>47</v>
      </c>
      <c r="V3" s="28" t="s">
        <v>48</v>
      </c>
      <c r="W3" s="28" t="s">
        <v>49</v>
      </c>
      <c r="X3" s="28" t="s">
        <v>50</v>
      </c>
      <c r="Y3" s="28" t="s">
        <v>51</v>
      </c>
      <c r="Z3" s="28" t="s">
        <v>52</v>
      </c>
      <c r="AA3" s="27" t="s">
        <v>53</v>
      </c>
      <c r="AB3" s="27" t="s">
        <v>47</v>
      </c>
      <c r="AC3" s="28" t="s">
        <v>48</v>
      </c>
      <c r="AD3" s="28" t="s">
        <v>49</v>
      </c>
      <c r="AE3" s="28" t="s">
        <v>50</v>
      </c>
      <c r="AF3" s="28" t="s">
        <v>51</v>
      </c>
      <c r="AG3" s="123" t="s">
        <v>54</v>
      </c>
      <c r="AH3" s="121" t="s">
        <v>55</v>
      </c>
      <c r="AI3" s="16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5.75" customHeight="1" x14ac:dyDescent="0.25">
      <c r="A4" s="120"/>
      <c r="B4" s="30">
        <v>1</v>
      </c>
      <c r="C4" s="30">
        <v>2</v>
      </c>
      <c r="D4" s="30">
        <v>3</v>
      </c>
      <c r="E4" s="30">
        <v>4</v>
      </c>
      <c r="F4" s="29">
        <v>5</v>
      </c>
      <c r="G4" s="29">
        <v>6</v>
      </c>
      <c r="H4" s="30">
        <v>7</v>
      </c>
      <c r="I4" s="30">
        <v>8</v>
      </c>
      <c r="J4" s="30">
        <v>9</v>
      </c>
      <c r="K4" s="30">
        <v>10</v>
      </c>
      <c r="L4" s="30">
        <v>11</v>
      </c>
      <c r="M4" s="29">
        <v>12</v>
      </c>
      <c r="N4" s="29">
        <v>13</v>
      </c>
      <c r="O4" s="30">
        <v>14</v>
      </c>
      <c r="P4" s="30">
        <v>15</v>
      </c>
      <c r="Q4" s="30">
        <v>16</v>
      </c>
      <c r="R4" s="30">
        <v>17</v>
      </c>
      <c r="S4" s="30">
        <v>18</v>
      </c>
      <c r="T4" s="29">
        <v>19</v>
      </c>
      <c r="U4" s="29">
        <v>20</v>
      </c>
      <c r="V4" s="30">
        <v>21</v>
      </c>
      <c r="W4" s="30">
        <v>22</v>
      </c>
      <c r="X4" s="30">
        <v>23</v>
      </c>
      <c r="Y4" s="30">
        <v>24</v>
      </c>
      <c r="Z4" s="30">
        <v>25</v>
      </c>
      <c r="AA4" s="29">
        <v>26</v>
      </c>
      <c r="AB4" s="29">
        <v>27</v>
      </c>
      <c r="AC4" s="30">
        <v>28</v>
      </c>
      <c r="AD4" s="30">
        <v>29</v>
      </c>
      <c r="AE4" s="30">
        <v>30</v>
      </c>
      <c r="AF4" s="30">
        <v>31</v>
      </c>
      <c r="AG4" s="119"/>
      <c r="AH4" s="119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8.75" customHeight="1" x14ac:dyDescent="0.25">
      <c r="A5" s="6" t="s">
        <v>157</v>
      </c>
      <c r="B5" s="124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37"/>
      <c r="AG5" s="120"/>
      <c r="AH5" s="120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5.75" customHeight="1" x14ac:dyDescent="0.25">
      <c r="A6" s="5" t="s">
        <v>39</v>
      </c>
      <c r="B6" s="32"/>
      <c r="C6" s="32"/>
      <c r="D6" s="32"/>
      <c r="E6" s="32"/>
      <c r="F6" s="31"/>
      <c r="G6" s="31"/>
      <c r="H6" s="32"/>
      <c r="I6" s="32"/>
      <c r="J6" s="32"/>
      <c r="K6" s="32"/>
      <c r="L6" s="32"/>
      <c r="M6" s="31"/>
      <c r="N6" s="31"/>
      <c r="O6" s="32"/>
      <c r="P6" s="32"/>
      <c r="Q6" s="32"/>
      <c r="R6" s="32"/>
      <c r="S6" s="32"/>
      <c r="T6" s="31"/>
      <c r="U6" s="33"/>
      <c r="V6" s="34"/>
      <c r="W6" s="32"/>
      <c r="X6" s="32"/>
      <c r="Y6" s="32"/>
      <c r="Z6" s="32" t="s">
        <v>81</v>
      </c>
      <c r="AA6" s="31"/>
      <c r="AB6" s="33"/>
      <c r="AC6" s="34"/>
      <c r="AD6" s="32"/>
      <c r="AE6" s="32"/>
      <c r="AF6" s="32"/>
      <c r="AG6" s="13">
        <f>COUNTIF(B6:AF6,"P")</f>
        <v>0</v>
      </c>
      <c r="AH6" s="13">
        <f>COUNTIF(B6:AF6,"S")</f>
        <v>0</v>
      </c>
      <c r="AI6" s="4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5.75" customHeight="1" x14ac:dyDescent="0.25">
      <c r="A7" s="5" t="s">
        <v>158</v>
      </c>
      <c r="B7" s="32"/>
      <c r="C7" s="32"/>
      <c r="D7" s="32"/>
      <c r="E7" s="32" t="s">
        <v>82</v>
      </c>
      <c r="F7" s="31" t="s">
        <v>82</v>
      </c>
      <c r="G7" s="31"/>
      <c r="H7" s="32"/>
      <c r="I7" s="32"/>
      <c r="J7" s="32"/>
      <c r="K7" s="32"/>
      <c r="L7" s="32"/>
      <c r="M7" s="31"/>
      <c r="N7" s="31"/>
      <c r="O7" s="32"/>
      <c r="P7" s="32"/>
      <c r="Q7" s="32"/>
      <c r="R7" s="32"/>
      <c r="S7" s="32"/>
      <c r="T7" s="31"/>
      <c r="U7" s="33"/>
      <c r="V7" s="34"/>
      <c r="W7" s="32"/>
      <c r="X7" s="32"/>
      <c r="Y7" s="32"/>
      <c r="Z7" s="32" t="s">
        <v>81</v>
      </c>
      <c r="AA7" s="31" t="s">
        <v>82</v>
      </c>
      <c r="AB7" s="33"/>
      <c r="AC7" s="34"/>
      <c r="AD7" s="32" t="s">
        <v>82</v>
      </c>
      <c r="AE7" s="32" t="s">
        <v>82</v>
      </c>
      <c r="AF7" s="32" t="s">
        <v>82</v>
      </c>
      <c r="AG7" s="13">
        <f>(COUNTIF(B7:AC7,"P"))</f>
        <v>3</v>
      </c>
      <c r="AH7" s="13">
        <f t="shared" ref="AH7:AH20" si="0">(COUNTIF(B7:AC7,"S"))</f>
        <v>0</v>
      </c>
      <c r="AI7" s="4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75" customHeight="1" x14ac:dyDescent="0.25">
      <c r="A8" s="5" t="s">
        <v>159</v>
      </c>
      <c r="B8" s="32"/>
      <c r="C8" s="32"/>
      <c r="D8" s="32"/>
      <c r="E8" s="32"/>
      <c r="F8" s="31"/>
      <c r="G8" s="31"/>
      <c r="H8" s="32"/>
      <c r="I8" s="32"/>
      <c r="J8" s="32"/>
      <c r="K8" s="32"/>
      <c r="L8" s="32"/>
      <c r="M8" s="31"/>
      <c r="N8" s="31"/>
      <c r="O8" s="32"/>
      <c r="P8" s="32"/>
      <c r="Q8" s="32"/>
      <c r="R8" s="32"/>
      <c r="S8" s="32"/>
      <c r="T8" s="31"/>
      <c r="U8" s="33"/>
      <c r="V8" s="34"/>
      <c r="W8" s="32" t="s">
        <v>82</v>
      </c>
      <c r="X8" s="32" t="s">
        <v>82</v>
      </c>
      <c r="Y8" s="32" t="s">
        <v>82</v>
      </c>
      <c r="Z8" s="32" t="s">
        <v>81</v>
      </c>
      <c r="AA8" s="31" t="s">
        <v>82</v>
      </c>
      <c r="AB8" s="33"/>
      <c r="AC8" s="34"/>
      <c r="AD8" s="32" t="s">
        <v>82</v>
      </c>
      <c r="AE8" s="32" t="s">
        <v>82</v>
      </c>
      <c r="AF8" s="32"/>
      <c r="AG8" s="13">
        <f>(COUNTIF(B8:AE8,"P"))</f>
        <v>6</v>
      </c>
      <c r="AH8" s="13">
        <f t="shared" si="0"/>
        <v>0</v>
      </c>
      <c r="AI8" s="4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75" customHeight="1" x14ac:dyDescent="0.25">
      <c r="A9" s="5" t="s">
        <v>161</v>
      </c>
      <c r="B9" s="32"/>
      <c r="C9" s="32"/>
      <c r="D9" s="32"/>
      <c r="E9" s="32"/>
      <c r="F9" s="31"/>
      <c r="G9" s="31"/>
      <c r="H9" s="32"/>
      <c r="I9" s="32"/>
      <c r="J9" s="32"/>
      <c r="K9" s="32"/>
      <c r="L9" s="32"/>
      <c r="M9" s="31"/>
      <c r="N9" s="31"/>
      <c r="O9" s="32"/>
      <c r="P9" s="32"/>
      <c r="Q9" s="32"/>
      <c r="R9" s="32"/>
      <c r="S9" s="32"/>
      <c r="T9" s="31"/>
      <c r="U9" s="33"/>
      <c r="V9" s="34"/>
      <c r="W9" s="32"/>
      <c r="X9" s="32"/>
      <c r="Y9" s="32"/>
      <c r="Z9" s="32" t="s">
        <v>81</v>
      </c>
      <c r="AA9" s="31"/>
      <c r="AB9" s="33"/>
      <c r="AC9" s="34"/>
      <c r="AD9" s="32"/>
      <c r="AE9" s="32"/>
      <c r="AF9" s="32"/>
      <c r="AG9" s="13">
        <f>(COUNTIF(B9:AC9,"P"))</f>
        <v>0</v>
      </c>
      <c r="AH9" s="13">
        <f t="shared" si="0"/>
        <v>0</v>
      </c>
      <c r="AI9" s="4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.75" customHeight="1" x14ac:dyDescent="0.25">
      <c r="A10" s="5" t="s">
        <v>160</v>
      </c>
      <c r="B10" s="10"/>
      <c r="C10" s="10"/>
      <c r="D10" s="10"/>
      <c r="E10" s="10"/>
      <c r="F10" s="10"/>
      <c r="G10" s="11"/>
      <c r="H10" s="11"/>
      <c r="I10" s="10"/>
      <c r="J10" s="10"/>
      <c r="K10" s="10"/>
      <c r="L10" s="10"/>
      <c r="M10" s="10"/>
      <c r="N10" s="11"/>
      <c r="O10" s="11"/>
      <c r="P10" s="10"/>
      <c r="Q10" s="10"/>
      <c r="R10" s="10"/>
      <c r="S10" s="10"/>
      <c r="T10" s="10"/>
      <c r="U10" s="12"/>
      <c r="V10" s="12"/>
      <c r="W10" s="10"/>
      <c r="X10" s="10" t="s">
        <v>82</v>
      </c>
      <c r="Y10" s="10" t="s">
        <v>82</v>
      </c>
      <c r="Z10" s="10" t="s">
        <v>81</v>
      </c>
      <c r="AA10" s="10" t="s">
        <v>82</v>
      </c>
      <c r="AB10" s="12"/>
      <c r="AC10" s="12"/>
      <c r="AD10" s="10" t="s">
        <v>82</v>
      </c>
      <c r="AE10" s="10" t="s">
        <v>82</v>
      </c>
      <c r="AF10" s="10" t="s">
        <v>82</v>
      </c>
      <c r="AG10" s="13">
        <f>(COUNTIF(B10:AE10,"P"))</f>
        <v>5</v>
      </c>
      <c r="AH10" s="13">
        <f t="shared" si="0"/>
        <v>0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.75" customHeight="1" x14ac:dyDescent="0.25">
      <c r="A11" s="5" t="s">
        <v>164</v>
      </c>
      <c r="B11" s="10"/>
      <c r="C11" s="10"/>
      <c r="D11" s="10"/>
      <c r="E11" s="10"/>
      <c r="F11" s="10"/>
      <c r="G11" s="11"/>
      <c r="H11" s="11"/>
      <c r="I11" s="10"/>
      <c r="J11" s="10"/>
      <c r="K11" s="10"/>
      <c r="L11" s="10"/>
      <c r="M11" s="10"/>
      <c r="N11" s="11"/>
      <c r="O11" s="11"/>
      <c r="P11" s="10"/>
      <c r="Q11" s="10"/>
      <c r="R11" s="10"/>
      <c r="S11" s="10"/>
      <c r="T11" s="10"/>
      <c r="U11" s="12"/>
      <c r="V11" s="12"/>
      <c r="W11" s="10"/>
      <c r="X11" s="10"/>
      <c r="Y11" s="10"/>
      <c r="Z11" s="10" t="s">
        <v>81</v>
      </c>
      <c r="AA11" s="10"/>
      <c r="AB11" s="12"/>
      <c r="AC11" s="12"/>
      <c r="AD11" s="10"/>
      <c r="AE11" s="10"/>
      <c r="AF11" s="10"/>
      <c r="AG11" s="13">
        <f>(COUNTIF(B11:AC11,"P"))</f>
        <v>0</v>
      </c>
      <c r="AH11" s="13">
        <f t="shared" si="0"/>
        <v>0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.75" customHeight="1" x14ac:dyDescent="0.25">
      <c r="A12" s="5" t="s">
        <v>165</v>
      </c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10"/>
      <c r="N12" s="11"/>
      <c r="O12" s="11"/>
      <c r="P12" s="10"/>
      <c r="Q12" s="10"/>
      <c r="R12" s="10"/>
      <c r="S12" s="10"/>
      <c r="T12" s="10"/>
      <c r="U12" s="12"/>
      <c r="V12" s="12"/>
      <c r="W12" s="10"/>
      <c r="X12" s="10"/>
      <c r="Y12" s="10"/>
      <c r="Z12" s="10" t="s">
        <v>81</v>
      </c>
      <c r="AA12" s="10"/>
      <c r="AB12" s="12"/>
      <c r="AC12" s="12"/>
      <c r="AD12" s="10"/>
      <c r="AE12" s="10"/>
      <c r="AF12" s="10"/>
      <c r="AG12" s="13">
        <f>(COUNTIF(B12:AC12,"P"))</f>
        <v>0</v>
      </c>
      <c r="AH12" s="13">
        <f t="shared" si="0"/>
        <v>0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.75" customHeight="1" x14ac:dyDescent="0.25">
      <c r="A13" s="5" t="s">
        <v>166</v>
      </c>
      <c r="B13" s="10"/>
      <c r="C13" s="10"/>
      <c r="D13" s="10"/>
      <c r="E13" s="10"/>
      <c r="F13" s="10"/>
      <c r="G13" s="11"/>
      <c r="H13" s="11"/>
      <c r="I13" s="10"/>
      <c r="J13" s="10"/>
      <c r="K13" s="10"/>
      <c r="L13" s="10"/>
      <c r="M13" s="10"/>
      <c r="N13" s="11"/>
      <c r="O13" s="11"/>
      <c r="P13" s="10"/>
      <c r="Q13" s="10"/>
      <c r="R13" s="10"/>
      <c r="S13" s="10"/>
      <c r="T13" s="10"/>
      <c r="U13" s="12"/>
      <c r="V13" s="12"/>
      <c r="W13" s="10"/>
      <c r="X13" s="10"/>
      <c r="Y13" s="10"/>
      <c r="Z13" s="10" t="s">
        <v>81</v>
      </c>
      <c r="AA13" s="10"/>
      <c r="AB13" s="12"/>
      <c r="AC13" s="12"/>
      <c r="AD13" s="10"/>
      <c r="AE13" s="10"/>
      <c r="AF13" s="10"/>
      <c r="AG13" s="13">
        <f>(COUNTIF(B13:AC13,"P"))</f>
        <v>0</v>
      </c>
      <c r="AH13" s="13">
        <f t="shared" si="0"/>
        <v>0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.75" customHeight="1" x14ac:dyDescent="0.25">
      <c r="A14" s="5" t="s">
        <v>167</v>
      </c>
      <c r="B14" s="10"/>
      <c r="C14" s="10"/>
      <c r="D14" s="10"/>
      <c r="E14" s="10"/>
      <c r="F14" s="10"/>
      <c r="G14" s="11"/>
      <c r="H14" s="11"/>
      <c r="I14" s="10"/>
      <c r="J14" s="10"/>
      <c r="K14" s="10"/>
      <c r="L14" s="10"/>
      <c r="M14" s="10"/>
      <c r="N14" s="11"/>
      <c r="O14" s="11"/>
      <c r="P14" s="10"/>
      <c r="Q14" s="10"/>
      <c r="R14" s="10"/>
      <c r="S14" s="10"/>
      <c r="T14" s="10"/>
      <c r="U14" s="12"/>
      <c r="V14" s="12"/>
      <c r="W14" s="10" t="s">
        <v>82</v>
      </c>
      <c r="X14" s="10" t="s">
        <v>82</v>
      </c>
      <c r="Y14" s="10" t="s">
        <v>82</v>
      </c>
      <c r="Z14" s="10" t="s">
        <v>81</v>
      </c>
      <c r="AA14" s="10" t="s">
        <v>82</v>
      </c>
      <c r="AB14" s="12"/>
      <c r="AC14" s="12"/>
      <c r="AD14" s="10" t="s">
        <v>82</v>
      </c>
      <c r="AE14" s="10" t="s">
        <v>82</v>
      </c>
      <c r="AF14" s="10"/>
      <c r="AG14" s="13">
        <v>7</v>
      </c>
      <c r="AH14" s="13">
        <f t="shared" si="0"/>
        <v>0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.75" customHeight="1" x14ac:dyDescent="0.25">
      <c r="A15" s="5" t="s">
        <v>168</v>
      </c>
      <c r="B15" s="10"/>
      <c r="C15" s="10"/>
      <c r="D15" s="10"/>
      <c r="E15" s="10"/>
      <c r="F15" s="10"/>
      <c r="G15" s="11"/>
      <c r="H15" s="11"/>
      <c r="I15" s="10"/>
      <c r="J15" s="10"/>
      <c r="K15" s="10"/>
      <c r="L15" s="10"/>
      <c r="M15" s="10"/>
      <c r="N15" s="11"/>
      <c r="O15" s="11"/>
      <c r="P15" s="10"/>
      <c r="Q15" s="10"/>
      <c r="R15" s="10"/>
      <c r="S15" s="10"/>
      <c r="T15" s="10"/>
      <c r="U15" s="12"/>
      <c r="V15" s="12"/>
      <c r="W15" s="10"/>
      <c r="X15" s="10"/>
      <c r="Y15" s="10"/>
      <c r="Z15" s="10" t="s">
        <v>81</v>
      </c>
      <c r="AA15" s="10" t="s">
        <v>82</v>
      </c>
      <c r="AB15" s="12"/>
      <c r="AC15" s="12"/>
      <c r="AD15" s="10"/>
      <c r="AE15" s="10"/>
      <c r="AF15" s="10"/>
      <c r="AG15" s="13">
        <f t="shared" ref="AG15:AG20" si="1">(COUNTIF(B15:AC15,"P"))</f>
        <v>1</v>
      </c>
      <c r="AH15" s="13">
        <f t="shared" si="0"/>
        <v>0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.75" customHeight="1" x14ac:dyDescent="0.25">
      <c r="A16" s="5" t="s">
        <v>169</v>
      </c>
      <c r="B16" s="10"/>
      <c r="C16" s="10"/>
      <c r="D16" s="10"/>
      <c r="E16" s="10"/>
      <c r="F16" s="10"/>
      <c r="G16" s="11"/>
      <c r="H16" s="11"/>
      <c r="I16" s="10"/>
      <c r="J16" s="10"/>
      <c r="K16" s="10"/>
      <c r="L16" s="10"/>
      <c r="M16" s="10"/>
      <c r="N16" s="11"/>
      <c r="O16" s="11"/>
      <c r="P16" s="10"/>
      <c r="Q16" s="10"/>
      <c r="R16" s="10"/>
      <c r="S16" s="10"/>
      <c r="T16" s="10"/>
      <c r="U16" s="12"/>
      <c r="V16" s="12"/>
      <c r="W16" s="10"/>
      <c r="X16" s="10"/>
      <c r="Y16" s="10"/>
      <c r="Z16" s="10" t="s">
        <v>81</v>
      </c>
      <c r="AA16" s="10"/>
      <c r="AB16" s="12"/>
      <c r="AC16" s="12"/>
      <c r="AD16" s="10"/>
      <c r="AE16" s="10"/>
      <c r="AF16" s="10"/>
      <c r="AG16" s="13">
        <f t="shared" si="1"/>
        <v>0</v>
      </c>
      <c r="AH16" s="13">
        <f t="shared" si="0"/>
        <v>0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.75" customHeight="1" x14ac:dyDescent="0.25">
      <c r="A17" s="5" t="s">
        <v>170</v>
      </c>
      <c r="B17" s="10"/>
      <c r="C17" s="10"/>
      <c r="D17" s="10"/>
      <c r="E17" s="10"/>
      <c r="F17" s="10"/>
      <c r="G17" s="11"/>
      <c r="H17" s="11"/>
      <c r="I17" s="10"/>
      <c r="J17" s="10"/>
      <c r="K17" s="10"/>
      <c r="L17" s="10"/>
      <c r="M17" s="10"/>
      <c r="N17" s="11"/>
      <c r="O17" s="11"/>
      <c r="P17" s="10"/>
      <c r="Q17" s="10"/>
      <c r="R17" s="10"/>
      <c r="S17" s="10"/>
      <c r="T17" s="10"/>
      <c r="U17" s="12"/>
      <c r="V17" s="12"/>
      <c r="W17" s="10"/>
      <c r="X17" s="10"/>
      <c r="Y17" s="10"/>
      <c r="Z17" s="10" t="s">
        <v>81</v>
      </c>
      <c r="AA17" s="10"/>
      <c r="AB17" s="12"/>
      <c r="AC17" s="12"/>
      <c r="AD17" s="10"/>
      <c r="AE17" s="10"/>
      <c r="AF17" s="10"/>
      <c r="AG17" s="13">
        <f t="shared" si="1"/>
        <v>0</v>
      </c>
      <c r="AH17" s="13">
        <f t="shared" si="0"/>
        <v>0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.75" customHeight="1" x14ac:dyDescent="0.25">
      <c r="A18" s="5" t="s">
        <v>173</v>
      </c>
      <c r="B18" s="10"/>
      <c r="C18" s="10"/>
      <c r="D18" s="10"/>
      <c r="E18" s="10"/>
      <c r="F18" s="10"/>
      <c r="G18" s="11"/>
      <c r="H18" s="11"/>
      <c r="I18" s="10"/>
      <c r="J18" s="10"/>
      <c r="K18" s="10"/>
      <c r="L18" s="10"/>
      <c r="M18" s="10"/>
      <c r="N18" s="11"/>
      <c r="O18" s="11"/>
      <c r="P18" s="10"/>
      <c r="Q18" s="10"/>
      <c r="R18" s="10"/>
      <c r="S18" s="10"/>
      <c r="T18" s="10"/>
      <c r="U18" s="12"/>
      <c r="V18" s="12"/>
      <c r="W18" s="10"/>
      <c r="X18" s="10"/>
      <c r="Y18" s="10"/>
      <c r="Z18" s="10" t="s">
        <v>81</v>
      </c>
      <c r="AA18" s="10"/>
      <c r="AB18" s="12"/>
      <c r="AC18" s="12"/>
      <c r="AD18" s="10"/>
      <c r="AE18" s="10"/>
      <c r="AF18" s="10"/>
      <c r="AG18" s="13">
        <f t="shared" si="1"/>
        <v>0</v>
      </c>
      <c r="AH18" s="13">
        <f t="shared" si="0"/>
        <v>0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.75" customHeight="1" x14ac:dyDescent="0.25">
      <c r="A19" s="5" t="s">
        <v>175</v>
      </c>
      <c r="B19" s="10"/>
      <c r="C19" s="10"/>
      <c r="D19" s="10"/>
      <c r="E19" s="10"/>
      <c r="F19" s="10"/>
      <c r="G19" s="11"/>
      <c r="H19" s="11"/>
      <c r="I19" s="10" t="s">
        <v>82</v>
      </c>
      <c r="J19" s="10" t="s">
        <v>82</v>
      </c>
      <c r="K19" s="10" t="s">
        <v>82</v>
      </c>
      <c r="L19" s="10" t="s">
        <v>82</v>
      </c>
      <c r="M19" s="10" t="s">
        <v>82</v>
      </c>
      <c r="N19" s="11"/>
      <c r="O19" s="11"/>
      <c r="P19" s="10"/>
      <c r="Q19" s="10"/>
      <c r="R19" s="10"/>
      <c r="S19" s="10"/>
      <c r="T19" s="10"/>
      <c r="U19" s="12"/>
      <c r="V19" s="12"/>
      <c r="W19" s="10"/>
      <c r="X19" s="10"/>
      <c r="Y19" s="10"/>
      <c r="Z19" s="10" t="s">
        <v>81</v>
      </c>
      <c r="AA19" s="10" t="s">
        <v>82</v>
      </c>
      <c r="AB19" s="12"/>
      <c r="AC19" s="12"/>
      <c r="AD19" s="10"/>
      <c r="AE19" s="10"/>
      <c r="AF19" s="10"/>
      <c r="AG19" s="13">
        <f t="shared" si="1"/>
        <v>6</v>
      </c>
      <c r="AH19" s="13">
        <f t="shared" si="0"/>
        <v>0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.75" customHeight="1" x14ac:dyDescent="0.25">
      <c r="A20" s="5" t="s">
        <v>176</v>
      </c>
      <c r="B20" s="10"/>
      <c r="C20" s="10"/>
      <c r="D20" s="10"/>
      <c r="E20" s="10"/>
      <c r="F20" s="10"/>
      <c r="G20" s="11"/>
      <c r="H20" s="11"/>
      <c r="I20" s="10"/>
      <c r="J20" s="10"/>
      <c r="K20" s="10"/>
      <c r="L20" s="10"/>
      <c r="M20" s="10"/>
      <c r="N20" s="11"/>
      <c r="O20" s="11"/>
      <c r="P20" s="10"/>
      <c r="Q20" s="10"/>
      <c r="R20" s="10"/>
      <c r="S20" s="10"/>
      <c r="T20" s="10"/>
      <c r="U20" s="12"/>
      <c r="V20" s="12"/>
      <c r="W20" s="10"/>
      <c r="X20" s="10"/>
      <c r="Y20" s="10"/>
      <c r="Z20" s="10" t="s">
        <v>81</v>
      </c>
      <c r="AA20" s="10"/>
      <c r="AB20" s="12"/>
      <c r="AC20" s="12"/>
      <c r="AD20" s="10"/>
      <c r="AE20" s="10"/>
      <c r="AF20" s="10"/>
      <c r="AG20" s="13">
        <f t="shared" si="1"/>
        <v>0</v>
      </c>
      <c r="AH20" s="13">
        <f t="shared" si="0"/>
        <v>0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.75" customHeight="1" x14ac:dyDescent="0.25">
      <c r="A24" s="118" t="s">
        <v>84</v>
      </c>
      <c r="B24" s="118" t="s">
        <v>85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.75" customHeight="1" x14ac:dyDescent="0.25">
      <c r="A25" s="119"/>
      <c r="B25" s="11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.75" customHeight="1" x14ac:dyDescent="0.25">
      <c r="A26" s="120"/>
      <c r="B26" s="12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.75" customHeight="1" x14ac:dyDescent="0.25">
      <c r="A27" s="7" t="s">
        <v>86</v>
      </c>
      <c r="B27" s="8" t="s">
        <v>82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.75" customHeight="1" x14ac:dyDescent="0.25">
      <c r="A28" s="9" t="s">
        <v>87</v>
      </c>
      <c r="B28" s="8" t="s">
        <v>83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.75" customHeight="1" x14ac:dyDescent="0.25">
      <c r="A29" s="14" t="s">
        <v>88</v>
      </c>
      <c r="B29" s="8" t="s">
        <v>81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</sheetData>
  <mergeCells count="7">
    <mergeCell ref="A24:A26"/>
    <mergeCell ref="B24:B26"/>
    <mergeCell ref="A1:AH2"/>
    <mergeCell ref="AH3:AH5"/>
    <mergeCell ref="A3:A4"/>
    <mergeCell ref="AG3:AG5"/>
    <mergeCell ref="B5:AE5"/>
  </mergeCells>
  <conditionalFormatting sqref="B6:AF9">
    <cfRule type="cellIs" dxfId="3" priority="4" operator="equal">
      <formula>"H"</formula>
    </cfRule>
  </conditionalFormatting>
  <conditionalFormatting sqref="B6:AF20">
    <cfRule type="cellIs" dxfId="2" priority="1" operator="equal">
      <formula>"S"</formula>
    </cfRule>
    <cfRule type="cellIs" dxfId="1" priority="2" operator="equal">
      <formula>"P"</formula>
    </cfRule>
    <cfRule type="cellIs" dxfId="0" priority="3" operator="equal">
      <formula>"H"</formula>
    </cfRule>
  </conditionalFormatting>
  <dataValidations count="1">
    <dataValidation type="list" allowBlank="1" showInputMessage="1" showErrorMessage="1" sqref="B6:H9 B10:F10 B11:H20 I6:J20 K6:N9 K10:M10 K11:N20 P6:T20 U6:V9 W6:AA20 AB6:AB9 AC6:AF20" xr:uid="{00000000-0002-0000-0A00-000000000000}">
      <formula1>$B$27:$B$29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Mar-2026</vt:lpstr>
      <vt:lpstr>April-2026</vt:lpstr>
      <vt:lpstr>May-2026</vt:lpstr>
      <vt:lpstr>June-2026</vt:lpstr>
      <vt:lpstr>July-2026</vt:lpstr>
      <vt:lpstr>Aug-2026</vt:lpstr>
      <vt:lpstr>Sep-2026</vt:lpstr>
      <vt:lpstr>Oct-2026</vt:lpstr>
      <vt:lpstr>Nov-2026</vt:lpstr>
      <vt:lpstr>Dec-2026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</dc:creator>
  <cp:keywords/>
  <dc:description/>
  <cp:lastModifiedBy>Ram P</cp:lastModifiedBy>
  <cp:revision/>
  <dcterms:created xsi:type="dcterms:W3CDTF">2021-08-29T19:54:09Z</dcterms:created>
  <dcterms:modified xsi:type="dcterms:W3CDTF">2026-03-17T18:35:47Z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0x010100F7F118E78F6B77488ED7C0C7982E52EF</vt:lpwstr>
  </property>
  <property fmtid="{D5CDD505-2E9C-101B-9397-08002B2CF9AE}" pid="3" name="MediaServiceImageTags">
    <vt:lpwstr/>
  </property>
</Properties>
</file>